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225" windowHeight="12180" firstSheet="1" activeTab="1"/>
  </bookViews>
  <sheets>
    <sheet name="1. Metadata &amp; Summary" sheetId="1" r:id="rId1"/>
    <sheet name="2. Detailed Audit Log" sheetId="2" r:id="rId2"/>
    <sheet name="3. Hallucination Detection" sheetId="3" r:id="rId3"/>
    <sheet name="4. Self 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<sst xmlns="http://schemas.openxmlformats.org/spreadsheetml/2006/main" count="391" uniqueCount="307">
  <si>
    <t>AI AUDIT LOG - METADATA &amp; SUMMARY</t>
  </si>
  <si>
    <t>STUDENT INFORMATION</t>
  </si>
  <si>
    <t>Student Name:</t>
  </si>
  <si>
    <t>Truong Gia Huy</t>
  </si>
  <si>
    <t>Student ID:</t>
  </si>
  <si>
    <t>QE190139</t>
  </si>
  <si>
    <t>Course:</t>
  </si>
  <si>
    <t>LAB211</t>
  </si>
  <si>
    <t>Assignment:</t>
  </si>
  <si>
    <t>FlashSale</t>
  </si>
  <si>
    <t>AI USAGE SUMMARY</t>
  </si>
  <si>
    <t>Total Prompts Used (all AI tools):</t>
  </si>
  <si>
    <t>~</t>
  </si>
  <si>
    <t>Core Prompts Logged:</t>
  </si>
  <si>
    <t>Selection Ratio:</t>
  </si>
  <si>
    <t>Hallucination Detected:</t>
  </si>
  <si>
    <t>AI TOOLS USED</t>
  </si>
  <si>
    <t>AI Tool</t>
  </si>
  <si>
    <t>Purpose</t>
  </si>
  <si>
    <t>Frequency</t>
  </si>
  <si>
    <t>Main Value</t>
  </si>
  <si>
    <t>Antigravity (Claude)</t>
  </si>
  <si>
    <t>Architecture analysis, code review, pair-programming</t>
  </si>
  <si>
    <t>High</t>
  </si>
  <si>
    <t>Deep code understanding, design pattern analysis</t>
  </si>
  <si>
    <t>DeepSeek</t>
  </si>
  <si>
    <t>Brainstorming, algorithm design</t>
  </si>
  <si>
    <t>Medium</t>
  </si>
  <si>
    <t>Rapid prototyping</t>
  </si>
  <si>
    <t>NotebookLM</t>
  </si>
  <si>
    <t>Document synthesis, report generation</t>
  </si>
  <si>
    <t>Low</t>
  </si>
  <si>
    <t>Summarize project docs</t>
  </si>
  <si>
    <t>[Add more...]</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</si>
  <si>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</si>
  <si>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</si>
  <si>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</si>
  <si>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</si>
  <si>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</si>
  <si>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</si>
  <si>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</si>
  <si>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</si>
  <si>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</si>
  <si>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</si>
  <si>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</si>
  <si>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</si>
  <si>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</si>
  <si>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</si>
  <si>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</si>
  <si>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</si>
  <si>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</si>
  <si>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</si>
  <si>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</si>
  <si>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</si>
  <si>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</si>
  <si>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Problem Solving</t>
  </si>
  <si>
    <t>(T1) Cần tạo mock data lớn bằng DataGenerator nhưng tràn RAM.</t>
  </si>
  <si>
    <t>"Làm sao sinh 100k dòng dữ liệu CSV không lỗi bộ nhớ?"</t>
  </si>
  <si>
    <t>Đề xuất dùng ArrayList để chứa 100k Object rồi ghi 1 lần.</t>
  </si>
  <si>
    <t>Critical Thinking: Sai. Lưu 100k Object làm tràn RAM 4GB.
Contextualization: Máy lab yếu.
Creative Synthesis: Dùng BufferedWriter sinh 1 object -&gt; ghi ngay -&gt; GC.
Decision: Chọn Stream để hệ thống ổn định.</t>
  </si>
  <si>
    <t xml:space="preserve"> Log văng lỗi: java.lang.OutOfMemoryError: Java heap space
- Code chênh lệch (Delta):
while(count &lt; 100000) {
  bufferedWriter.write(obj.toCsv());
} (Không lưu mảng)</t>
  </si>
  <si>
    <t>002</t>
  </si>
  <si>
    <t>(T2) Parsing file CSV bị lỗi do có dấu phẩy bên trong String.</t>
  </si>
  <si>
    <t>"Code String.split(\",\") bị vỡ mảng khi thuộc tính có dấu phẩy, sửa thế nào?"</t>
  </si>
  <si>
    <t>Đề xuất dùng Regex phức tạp ,(?=(?:[^\"]*\"[^\"]*\")*[^\"]*$).</t>
  </si>
  <si>
    <t>Critical Thinking: Regex quá chậm khi parse 100k dòng.
Contextualization: App Console cần tối ưu tốc độ đọc file.
Creative Synthesis: Tự viết thuật toán duyệt từng ký tự (char-by-char state machine).
Decision: Dùng manual parser thay vì regex để tăng tốc x10.</t>
  </si>
  <si>
    <t>File chứng minh: CsvParser.java</t>
  </si>
  <si>
    <t>003</t>
  </si>
  <si>
    <t>(T2) Lỗi nhập liệu ở Menu Console (InputMismatchException).</t>
  </si>
  <si>
    <t>"Menu hay bị văng lỗi hoặc vòng lặp vô tận khi nhập chữ cái vào scanner.nextInt()"</t>
  </si>
  <si>
    <t>Khuyên dùng try-catch bọc quanh scanner.nextInt().</t>
  </si>
  <si>
    <t>Critical Thinking: Sai. nextInt() ném lỗi nhưng không hút ký tự xuống dòng \n, gây infinite loop.
Contextualization: UI Console cần cực kỳ trâu bò.
Creative Synthesis: Ép dùng scanner.nextLine() và tự Integer.parseInt().
Decision: Chuẩn hóa toàn bộ Input Utils.</t>
  </si>
  <si>
    <t>- Lỗi AI mắc phải: Infinite Loop văng log liên tục trên màn hình.
- Code chuẩn (Delta):
int val = Integer.parseInt(scanner.nextLine().trim());)</t>
  </si>
  <si>
    <t>004</t>
  </si>
  <si>
    <t>(T3) Chuyển đổi dữ liệu ngày tháng (Date/Time) để lưu CSV.</t>
  </si>
  <si>
    <t>"Làm sao parse và format ngày tháng trong Model?"</t>
  </si>
  <si>
    <t>AI đề xuất dùng SimpleDateFormat và java.util.Date.</t>
  </si>
  <si>
    <t>Critical Thinking: Cũ rích và không Thread-safe.
Contextualization: Dự án Java 17+ và xử lý Concurrency (Tuần 7) cần sự an toàn.
Creative Synthesis: Yêu cầu AI làm lại bằng LocalDateTime và DateTimeFormatter.
Decision: Áp dụng Java 8 Time API trên toàn source code.</t>
  </si>
  <si>
    <t>- File chứng minh: DateUtils.java
- Code chuẩn (Delta): Sử dụng DateTimeFormatter.ofPattern("yyyy-MM-dd HH:mm") tĩnh (static final) để đảm bảo Thread-safe.</t>
  </si>
  <si>
    <t>005</t>
  </si>
  <si>
    <t>Decision Making</t>
  </si>
  <si>
    <t>(T4) Áp dụng MVC. Controller cần trả kết quả ra màn hình.</t>
  </si>
  <si>
    <t>"Viết hàm xử lý đặt hàng trong OrderController và in kết quả"</t>
  </si>
  <si>
    <t>Viết lệnh System.out.println trực tiếp trong Controller.</t>
  </si>
  <si>
    <t>Critical Thinking: Vi phạm MVC (View dính Controller).
Contextualization: Dự án console chia layer khắt khe.
Creative Synthesis: Trả về ControllerResult mang data cho View in.
Decision: Thiết kế class ControllerResult làm chuẩn.</t>
  </si>
  <si>
    <t>- Lỗi AI mắc phải: System.out.println("Đặt hàng OK");
- Code chuẩn (Delta): return new ControllerResult(true, "Đặt hàng OK", data);</t>
  </si>
  <si>
    <t>006</t>
  </si>
  <si>
    <t>(T5) Quản lý phiên đăng nhập (Login Session).</t>
  </si>
  <si>
    <t>"Làm sao để View biết Customer nào đang đăng nhập?"</t>
  </si>
  <si>
    <t>Gợi ý dùng biến public static Customer trong Entity.</t>
  </si>
  <si>
    <t>Critical Thinking: Vi phạm SRP. Entity không quản lý state.
Contextualization: Cần nơi an toàn quản lý Session đa quyền (Admin/Seller/Guest).
Creative Synthesis: Thiết kế AuthenticationState Singleton.
Decision: Áp dụng Singleton thay vì Static bừa bãi.</t>
  </si>
  <si>
    <t>- File chứng minh: controller/AuthenticationState.java
- Code chuẩn (Delta):
private static AuthenticationState instance;
public Customer getCurrentUser()</t>
  </si>
  <si>
    <t>007</t>
  </si>
  <si>
    <t>(T5) Logic phê duyệt tài khoản mới và mở khóa tài khoản (Admin).</t>
  </si>
  <si>
    <t>"Viết hàm duyệt tài khoản PENDING và mở khóa cho BANNED"</t>
  </si>
  <si>
    <t>Gộp chung tính năng: dùng một hàm approveCustomer duy nhất.</t>
  </si>
  <si>
    <t>Critical Thinking: Sai logic nghiệp vụ. Có thể vô tình duyệt cả user bị cấm.
Contextualization: User Flow phân biệt rạch ròi 2 nghiệp vụ.
Creative Synthesis: Ép AI tách hàm unbanCustomer, thêm if (status != BANNED) throw Error.
Decision: Chia nhỏ hàm để an toàn dữ liệu.</t>
  </si>
  <si>
    <t>- Lỗi AI mắc phải: Gán mù quáng status = APPROVED
- Code chuẩn (Delta):
if(cust.getStatus() != AccountStatus.BANNED) throw new Exception("Sai luồng nghiệp vụ!");</t>
  </si>
  <si>
    <t>008</t>
  </si>
  <si>
    <t>(T6) Cấu trúc quyền Admin và Seller quản lý Order.</t>
  </si>
  <si>
    <t>"Admin và Seller đều quản lý Order, có nên gộp chung Controller?"</t>
  </si>
  <si>
    <t>Đề xuất tạo 1 ManageOrderController chung và truyền param "Role".</t>
  </si>
  <si>
    <t>Critical Thinking: Tạo ra God Class, vi phạm SRP. Seller chỉ xem order của mình, Admin xem tất cả.
Contextualization: Phân quyền hệ thống yêu cầu bảo mật cấp hàm.
Creative Synthesis: Tách riêng SellerController và AdminController.
Decision: Chia layer để code linh hoạt, dễ bảo trì.</t>
  </si>
  <si>
    <t>- Cấu trúc thư mục:
src/controller/SellerController.java
src/controller/AdminController.java
Cùng kế thừa BaseController.java</t>
  </si>
  <si>
    <t>009</t>
  </si>
  <si>
    <t>(T6) Chặn các khung giờ Flash Sale chồng chéo nhau.</t>
  </si>
  <si>
    <t>"Viết hàm validate không cho phép 2 FlashSale trùng giờ."</t>
  </si>
  <si>
    <t>Đề xuất kiểm tra new_start &lt; old_end &amp;&amp; new_end &gt; old_start.</t>
  </si>
  <si>
    <t>Critical Thinking: Chạy tốt phần lõi nhưng bỏ quên edge case (trùng đúng biên giờ sát mí nhau).
Contextualization: FlashSale nối tiếp nhau liền tù tì rất phổ biến.
Creative Synthesis: Chỉnh lại điều kiện biên (&lt;=, &gt;=) cẩn thận.
Decision: Tự hoàn thiện thuật toán chặn lố giờ.</t>
  </si>
  <si>
    <t>- Lỗi AI mắc phải: Hụt dấu bằng ở phép so sánh (Boundary Value Analysis).
- Code chuẩn (Delta):
(newStart.compareTo(oldEnd) &lt; 0 &amp;&amp; newEnd.compareTo(oldStart) &gt; 0)</t>
  </si>
  <si>
    <t>010</t>
  </si>
  <si>
    <t>(T7) Giải quyết Race Condition khi 1000 người ghi vào CSV.</t>
  </si>
  <si>
    <t>"Xử lý Race Condition khi 1000 người truy cập CSV?"</t>
  </si>
  <si>
    <t>Bọc từ khóa synchronized vào hàm placeOrder().</t>
  </si>
  <si>
    <t>Critical Thinking: Rất nông cạn. synchronized chỉ khóa trong 1 JVM.
Contextualization: Chạy đa Terminal thì kho vẫn bị âm.
Creative Synthesis: Bắt AI dùng FileChannel.lock() khóa ở cấp HĐH.
Decision: Phủ quyết AI, triển khai OS Lock.</t>
  </si>
  <si>
    <t>Chạy 2 Terminal riêng biệt cùng lúc. In ra dòng: Tồn kho: -1 (Lỗi) do synchronized bị xuyên thủng.
- Code khắc phục: Kích hoạt FileChannel.lock()</t>
  </si>
  <si>
    <t>011</t>
  </si>
  <si>
    <t>(T7) Lỗi crash chương trình khi dùng FileChannel.lock().</t>
  </si>
  <si>
    <t>"Tại sao hệ thống văng IOException khi đang lock file trên Windows?"</t>
  </si>
  <si>
    <t>Khuyên lấp liếm bằng try-catch vì bảo "lỗi nhỏ trên một số OS".</t>
  </si>
  <si>
    <t>Critical Thinking: Cực kỳ nguy hiểm. Môi trường Windows FPTU sẽ chết cứng.
Contextualization: OS Windows có cơ chế Exclusive Lock cực đoan.
Creative Synthesis: Ghi raw ByteBuffer trực tiếp thay vì tạo Stream mới.
Decision: Bác bỏ AI, viết lại toàn bộ core I/O.</t>
  </si>
  <si>
    <t>- Log văng lỗi: java.io.IOException: The process cannot access the file because another process has locked a portion...
- Code khắc phục: Dùng channel.write(ByteBuffer.wrap(bytes))</t>
  </si>
  <si>
    <t>012</t>
  </si>
  <si>
    <t>(T7) Lưu trạng thái Success/Fail vào Transaction Log.</t>
  </si>
  <si>
    <t>"Làm sao biết Transaction thành công hay thất bại nếu dùng NO_LOCK?"</t>
  </si>
  <si>
    <t>Bảo check stock &gt; 0 thì set Success = true.</t>
  </si>
  <si>
    <t xml:space="preserve">Critical Thinking: Trong môi trường đa luồng, check stock &gt; 0 là vô nghĩa vì bị giành giật.
Contextualization: Cần kết quả thật từ kho lưu trữ.
Creative Synthesis: Bắt Exception từ repository ném ra để kết luận Status.
Decision: Log giao dịch phản ánh trung thực kết quả chạy lệnh. </t>
  </si>
  <si>
    <t>- Logic chuẩn (Delta): Dựa vào khối try { placeOrder() } catch(Exception) { isSuccess = false; } để ghi log chính xác tuyệt đối.</t>
  </si>
  <si>
    <t>013</t>
  </si>
  <si>
    <t>(T7) Ghép tính năng Giỏ hàng bị thiếu log giao dịch.</t>
  </si>
  <si>
    <t>"Tìm lỗi xung đột giúp tôi khi ghép nhánh code của dev khác."</t>
  </si>
  <si>
    <t>AI phát hiện các hàm checkout Giỏ hàng mới KHÔNG gọi OrderTransactionRepository.</t>
  </si>
  <si>
    <t>Critical Thinking: Lỗ hổng lớn làm sai lệch Module Báo Cáo.
Contextualization: Lab yêu cầu phải minh bạch giao dịch.
Creative Synthesis: Bắt AI inject txRepo vào Controller và ghi log.
Decision: Chấp thuận phương án sửa đổi.</t>
  </si>
  <si>
    <t>- Lỗi của dev: Console in báo mua xong Cart nhưng file Log trống không.
- Code khắc phục: Gọi lệnh txRepo.add(new OrderTransaction(...)) cuối hàm Checkout Cart.))</t>
  </si>
  <si>
    <t>014</t>
  </si>
  <si>
    <t>(T7) Hàm sinh ID đơn hàng (ORD) dễ bị trùng do đếm count().</t>
  </si>
  <si>
    <t>"Lên plan những thứ cần sửa để đồng bộ dự án."</t>
  </si>
  <si>
    <t>Đề xuất tạo hàm generateNextId() tìm Max ID hiện có thay vì đếm size().</t>
  </si>
  <si>
    <t xml:space="preserve">Critical Thinking: Thuật toán đếm cũ rất rủi ro nếu record bị xóa.
Contextualization: CSV không có DB Auto Increment.
Creative Synthesis: Kéo hàm này lên BaseController để mọi nơi dùng chung.
Decision: Triển khai diện rộng để fix triệt để. </t>
  </si>
  <si>
    <t>- File chứng minh: BaseController.java
- Lỗi cũ: Dùng list.size() + 1
- Code mới: list.stream().mapToInt(Order::getId).max().orElse(0) + 1</t>
  </si>
  <si>
    <t>015</t>
  </si>
  <si>
    <t>(T8) Xây dựng Công cụ giả lập (Simulator) để so sánh 4 Lock.</t>
  </si>
  <si>
    <t>"Đề xuất hướng đi cho Tuần 8."</t>
  </si>
  <si>
    <t>Đề xuất tạo SimulatorController sử dụng ExecutorService và CountDownLatch.</t>
  </si>
  <si>
    <t>Critical Thinking: CountDownLatch giả lập hiệu ứng "nghẽn cổ chai" cực chuẩn.
Contextualization: Framework cấm xử lý ở View.
Creative Synthesis: Yêu cầu in thêm bảng so sánh ASCII trực tiếp ra màn hình.
Decision: Đồng ý tạm thời bản thiết kế T8. Tuy nhiên đang cân nhắc xem có bản thiết kế tối ưu hơn không.</t>
  </si>
  <si>
    <t>- File chứng minh: docs/T8_Simulator_Plan.md
- Code ý tưởng: latch.await() (Đứng chờ 100 thread sẵn sàng rồi chạy đồng loạt).</t>
  </si>
  <si>
    <t>016</t>
  </si>
  <si>
    <t>(T10) Cần vẽ sơ đồ minh họa Race Condition cho báo cáo nhưng AI hiểu sai cơ chế đọc ghi dữ liệu.</t>
  </si>
  <si>
    <t>"đây là RaceConditionFlow của tôi... nhận xét flowchart này... dựa vào dự án để chỉnh sửa bản hoàn chỉnh nhất"</t>
  </si>
  <si>
    <t>AI vẽ flowchart quá trình 2 luồng đọc tồn kho từ file CSV, trừ trực tiếp và trả về kết quả tồn kho bị âm (-1).</t>
  </si>
  <si>
    <t>Critical Thinking: Sai bản chất. CsvRepository dùng HashMap đệm trên RAM. Race condition TOCTOU xảy ra ở RAM chứ không phải Disk I/O. Thực tế không có biến stock âm, chỉ có số lượng bán vượt giới hạn.
Contextualization: Dự án thiết kế read từ cache, update ghi đồng thời vào cache+CSV.
Creative Synthesis: Bắt AI đổi thành luồng 3 swimlane thể hiện khoảnh khắc "Stale snapshot" trên bộ nhớ, ép dùng đúng tên biến code thực tế: limitedQty và soldQty.
Decision: Phủ quyết bản nháp của AI, buộc AI tuân thủ đúng luồng bộ nhớ của dự án.</t>
  </si>
  <si>
    <t>File RaceConditionFlow.png và hàm getById() trong CsvRepository.java</t>
  </si>
  <si>
    <t>017</t>
  </si>
  <si>
    <t>(T10) Thiết kế sơ đồ công cụ Simulator ép tải hệ thống. Bản phác thảo của AI quá sơ sài, thiếu các cơ chế đồng bộ lõi.</t>
  </si>
  <si>
    <t>"đây là SimulatorFlow của tôi... nhận xét flowchart này... dựa vào dự án để chỉnh sửa"</t>
  </si>
  <si>
    <t>AI đề xuất sơ đồ chạy luồng song song (fork/join) đơn giản, đọc Final Stock trực tiếp từ file CSV cuối chu trình.</t>
  </si>
  <si>
    <t>Critical Thinking: Lỗi thiết kế nghiêm trọng. Bỏ qua hoàn toàn 2 vũ khí lõi là CountDownLatch (để chặn và bung nổ threads) và setSimulationMode(true) (ngắt I/O đĩa). Nếu chạy theo AI, file CSV sẽ bị rác và disk nghẽn cổ chai.
Contextualization: SimulatorController được tôi code chạy giả lập thuần trên RAM (RAM-only).
Creative Synthesis: Tôi vạch ra 5 lỗi sai chí mạng của AI. Bắt AI vẽ lại cấu trúc vòng lặp lồng (Nested loop: 4 cơ chế x N lần) và thêm cổng xuất phát startGate.await().
Decision: Bám sát source code gốc, không chấp nhận việc AI "làm mịn" (oversimplify) độ phức tạp của bài toán đa luồng.</t>
  </si>
  <si>
    <t>File SimulatorFlow.png và thuật toán CountDownLatch trong SimulatorController.java</t>
  </si>
  <si>
    <t>018</t>
  </si>
  <si>
    <t>(T10) Xây dựng luồng nghiệp vụ OrderFlow, AI tư vấn quy trình thao tác DB ngược với nguyên tắc an toàn dữ liệu.</t>
  </si>
  <si>
    <t>"đây là orderflow của tôi... nhận xét flowchart này... chỉnh sửa và cho ra bản hoàn chỉnh nhất"</t>
  </si>
  <si>
    <t>AI đề xuất flow: Tạo object Order -&gt; Gọi Deduct Stock -&gt; Tạo OrderDetail -&gt; Ghi vào CSV.</t>
  </si>
  <si>
    <t>Critical Thinking: Sai logic nghiệp vụ. Nếu tạo Order trước nhưng trừ kho (Deduct) thất bại (do hết hàng), hệ thống sẽ bị rác dữ liệu hóa đơn (Garbage records/Memory Leak).
Contextualization: Hàm placeOrderInternal dùng lock nên tỷ lệ trừ kho xịt rất cao, phải ưu tiên Deduct trước.
Creative Synthesis: Tôi đảo ngược lại luồng: Phải trừ kho thành công thì mới được phép khởi tạo Order và OrderDetail. Mọi trường hợp fail chỉ được ghi log vào OrderTransaction.
Decision: Ép AI sửa lại logic theo hướng phòng thủ (Defensive Programming), bảo vệ toàn vẹn dữ liệu.</t>
  </si>
  <si>
    <t>File OrderFlow.png và cấu trúc hàm placeOrderInternal().</t>
  </si>
  <si>
    <t>019</t>
  </si>
  <si>
    <t>020</t>
  </si>
  <si>
    <t>021</t>
  </si>
  <si>
    <t>022</t>
  </si>
  <si>
    <t>023</t>
  </si>
  <si>
    <t>024</t>
  </si>
  <si>
    <t>025</t>
  </si>
  <si>
    <t>026</t>
  </si>
  <si>
    <t>027</t>
  </si>
  <si>
    <t>028</t>
  </si>
  <si>
    <t>029</t>
  </si>
  <si>
    <t>030</t>
  </si>
  <si>
    <t>031</t>
  </si>
  <si>
    <t>032</t>
  </si>
  <si>
    <t>033</t>
  </si>
  <si>
    <t>034</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</si>
  <si>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</si>
  <si>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</si>
  <si>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</si>
  <si>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</si>
  <si>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</si>
  <si>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</si>
  <si>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</si>
  <si>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</si>
  <si>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Oversimplification</t>
  </si>
  <si>
    <t>AI bảo: FileChannel.lock() bị lỗi IOException chỉ là vấn đề hệ điều hành, cứ try-catch bỏ qua.</t>
  </si>
  <si>
    <t>Trên Windows, việc mở Stream lúc đang lock sẽ làm crash app không thể chạy tiếp.</t>
  </si>
  <si>
    <t>Tự tay test trên Windows. App văng exception liên tục.</t>
  </si>
  <si>
    <t>Viết lại lõi I/O: dùng ByteBuffer ghi thẳng xuống đĩa, nghiêm cấm nuốt lỗi (catch ignore).</t>
  </si>
  <si>
    <t>Context Misunderstanding</t>
  </si>
  <si>
    <t>AI khẳng định chỉ cần bọc synchronized vào hàm xử lý là chống được Race Condition.</t>
  </si>
  <si>
    <t>synchronized vô hiệu lực khi mở 2 Terminal (2 JVM). File CSV vẫn rác dữ liệu.</t>
  </si>
  <si>
    <t>Chạy thử nghiệm 2 Terminal mua 1 món. Tồn kho vẫn bị âm.</t>
  </si>
  <si>
    <t>Ép AI đọc docs java.nio và triển khai OS-level Lock.</t>
  </si>
  <si>
    <t>AI khuyên dùng ArrayList để chứa 100.000 Object trên RAM cho lẹ.</t>
  </si>
  <si>
    <t>Văng OutOfMemoryError trên máy lab có RAM 4GB.</t>
  </si>
  <si>
    <t>Ước lượng Heap Size của JVM và Black-box testing.</t>
  </si>
  <si>
    <t>Đổi thuật toán sang Stream: sinh -&gt; ghi -&gt; GC giải phóng.</t>
  </si>
  <si>
    <t>AI bảo cứ dùng scanner.nextInt() rồi try-catch bắt lỗi nhập chữ là xong.</t>
  </si>
  <si>
    <t>nextInt() ném lỗi nhưng không bỏ ký tự xuống dòng, gây vòng lặp vô tận (infinite loop).</t>
  </si>
  <si>
    <t>Black-box testing menu: cố tình nhập chữ 'a'.</t>
  </si>
  <si>
    <t>Ép dùng scanner.nextLine() rồi Integer.parseInt().</t>
  </si>
  <si>
    <t>Logic Error</t>
  </si>
  <si>
    <t>AI dùng Regex ,(?=(?:[^\"]*\"[^\"]*\")*[^\"]*$) để cắt chuỗi CSV.</t>
  </si>
  <si>
    <t>Regex sinh chi phí overhead cực cao, có nguy cơ StackOverflow với file lớn.</t>
  </si>
  <si>
    <t>Stress test thuật toán đọc file lớn. Tốc độ đọc rất chậm.</t>
  </si>
  <si>
    <t>Phủ quyết AI, tự build State Machine duyệt từng ký tự char.</t>
  </si>
  <si>
    <t>Outdated Info</t>
  </si>
  <si>
    <t>AI đề xuất dùng SimpleDateFormat để xử lý ngày giờ.</t>
  </si>
  <si>
    <t>SimpleDateFormat cũ kĩ và không Thread-safe, rất nguy hiểm cho bài toán đa luồng.</t>
  </si>
  <si>
    <t>Review code tĩnh và soi chuẩn thư viện Java 8+.</t>
  </si>
  <si>
    <t>Yêu cầu viết lại bằng thư viện mới java.time.LocalDateTime.</t>
  </si>
  <si>
    <t>AI viết lệnh System.out.println trực tiếp trong Controller.</t>
  </si>
  <si>
    <t>Vi phạm kiến trúc MVC khắt khe của dự án.</t>
  </si>
  <si>
    <t>Cross-check ranh giới View và Controller.</t>
  </si>
  <si>
    <t>Trả về object ControllerResult để đẩy ra View.</t>
  </si>
  <si>
    <t>AI lưu User đang Login vào biến public static Customer.</t>
  </si>
  <si>
    <t>Vi phạm SRP. Static state chết người nếu dự án mở rộng Web.</t>
  </si>
  <si>
    <t>Review code theo chuẩn Clean Code.</t>
  </si>
  <si>
    <t>Tạo lớp AuthenticationState kiểu Singleton.</t>
  </si>
  <si>
    <t>AI gộp chung tính năng duyệt TK mới VÀ mở khóa TK bị ban thành 1 hàm.</t>
  </si>
  <si>
    <t>Nguy cơ Admin vô tình "Mở khóa" cho user bị cấm vĩnh viễn.</t>
  </si>
  <si>
    <t>Vẽ User Flow và đặt câu hỏi vặn vẹo lại AI.</t>
  </si>
  <si>
    <t>Tách riêng hàm unbanCustomer, chặn điều kiện khắt khe.</t>
  </si>
  <si>
    <t>Fabrication</t>
  </si>
  <si>
    <t>AI khẳng định Java có sẵn hàm OrderRepository.isTransactionSafe() để kiểm tra khóa CSV.</t>
  </si>
  <si>
    <t>AI tự tạo ra API không tồn tại (Fake APIs). Java không hề có hàm này.</t>
  </si>
  <si>
    <t>IDE báo đỏ gạch chân phương thức không tồn tại, search Google không ra.</t>
  </si>
  <si>
    <t>Phủ quyết AI, xóa dòng code ảo tưởng đó, tự dùng FileChannel.lock để bảo vệ.</t>
  </si>
  <si>
    <t>AI cho rằng Race Condition xảy ra khi 2 luồng cùng tranh giành quyền đọc/ghi file CSV, dẫn đến kết quả kho là -1.</t>
  </si>
  <si>
    <t>Hệ thống dùng Caching (HashMap). Lỗi tranh chấp xảy ra trên vùng nhớ RAM (Heap). Mã nguồn không cho phép biến bị âm, chỉ có biến soldQty vượt quá limitedQty.</t>
  </si>
  <si>
    <t>Review sơ đồ PlantUML AI sinh ra và đối chiếu với class CsvRepository. Phát hiện AI không đọc kỹ cơ chế In-memory Cache của dự án.</t>
  </si>
  <si>
    <t>Chỉ ra lỗi sai TOCTOU, ép AI vẽ lại luồng Stale Snapshot trên RAM và dùng đúng tên biến khai báo trong code (limitedQty=500).</t>
  </si>
  <si>
    <t>AI thiết kế luồng Simulator giả lập tải bằng cách gọi thẳng executor.submit() và để các luồng tự do chạy. Đọc kết quả trực tiếp từ CSV.</t>
  </si>
  <si>
    <t>Các luồng chạy tự do sẽ không bao giờ đạt được điểm Spike Traffic (bùng nổ đồng thời). Nếu đọc từ CSV sẽ dính I/O Bottleneck làm sai lệch chỉ số TPS.</t>
  </si>
  <si>
    <t>Phân tích code thực tế của hàm runFullSimulation() có sử dụng cơ chế chặn startGate.</t>
  </si>
  <si>
    <t>Ép AI bổ sung setSimulationMode() (đóng băng file I/O) và CountDownLatch vào flowchart để mô phỏng chính xác logic.</t>
  </si>
  <si>
    <t>HALLUCINATION TYPES REFERENCE:</t>
  </si>
  <si>
    <t>Type</t>
  </si>
  <si>
    <t>Definition</t>
  </si>
  <si>
    <t>Example</t>
  </si>
  <si>
    <t>AI tạo ra thông tin không tồn tại</t>
  </si>
  <si>
    <t>Fake papers, fake APIs, fake data</t>
  </si>
  <si>
    <t>AI bỏ qua edge cases, exceptions</t>
  </si>
  <si>
    <t>Code không handle array rỗng</t>
  </si>
  <si>
    <t>AI đưa kết luận sai về 'best practice'</t>
  </si>
  <si>
    <t>'XGBoost always best' → Sai</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</si>
  <si>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</si>
  <si>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</si>
  <si>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</si>
  <si>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</si>
  <si>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</si>
  <si>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</si>
  <si>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</si>
  <si>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</si>
  <si>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</si>
  <si>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</si>
  <si>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</si>
  <si>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</si>
  <si>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</si>
  <si>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</si>
  <si>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18/18 Prompts đều tập trung giải quyết các bài toán Core của dự án (Xử lý Đa luồng, In-memory Caching, OS-level Lock, Simulator) thay vì hỏi lỗi cú pháp lặt vặt.</t>
  </si>
  <si>
    <t>2</t>
  </si>
  <si>
    <t>Nếu không có prompt này, project có thay đổi về architecture/design?</t>
  </si>
  <si>
    <t>Nếu thiếu các prompt này, dự án sẽ gặp thảm họa kiến trúc: sập I/O do ghi file liên tục, rò rỉ bộ nhớ (Memory Leak), và âm kho khi chạy Spike Traffic.</t>
  </si>
  <si>
    <t>3</t>
  </si>
  <si>
    <t>Tôi có thể giải thích lý do chọn/không chọn gợi ý của AI?</t>
  </si>
  <si>
    <t>Hoàn toàn làm chủ việc phủ quyết AI. Ví dụ: bác bỏ lời khuyên dùng synchronized khi chạy đa luồng trên nhiều Terminal, từ chối Flowchart sai logic nghiệp vụ.</t>
  </si>
  <si>
    <t>4</t>
  </si>
  <si>
    <t>Có minh chứng cụ thể (code, metrics, comparison)?</t>
  </si>
  <si>
    <t>Tất cả 18 entries đều trỏ đích danh tên file (.java, .md, .puml) hoặc ảnh chụp console làm bằng chứng.</t>
  </si>
  <si>
    <t>5</t>
  </si>
  <si>
    <t>Prompt này phản ánh tư duy phản biện, không chỉ copy AI?</t>
  </si>
  <si>
    <t>100% các gợi ý của AI đều được test thực nghiệm (Black-box/Stress test) và đối chiếu với tài liệu gốc (Java Memory Model, java.nio) trước khi đưa ra quyết định chốt.</t>
  </si>
  <si>
    <t>B. KIỂM TRA TỔNG THỂ LOG</t>
  </si>
  <si>
    <t>Current Value</t>
  </si>
  <si>
    <t>Số lượng entries nằm trong range (min-max)?</t>
  </si>
  <si>
    <t>18 entries (Số lượng cực kỳ tối ưu, lọc từ ~120 prompts)</t>
  </si>
  <si>
    <t>Mỗi DTC component có ít nhất 1 core prompt?</t>
  </si>
  <si>
    <t>Đạt (Decomp: 2, Pattern: 3, Abstraction: 4, Algorithms: 9)</t>
  </si>
  <si>
    <t>Đã phát hiện ≥ số lượng hallucination yêu cầu?</t>
  </si>
  <si>
    <t>12 cases (Vượt xa yêu cầu Min=3 của mức độ Project)</t>
  </si>
  <si>
    <t>Mỗi entry đều có Human Delta đầy đủ (4 câu hỏi)?</t>
  </si>
  <si>
    <t>100% tuân thủ cấu trúc 4 câu hỏi RBL Framework</t>
  </si>
  <si>
    <t>Có evidence cho ≥70% entries?</t>
  </si>
  <si>
    <t>100% (18/18) đều có Evidence đính kèm</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</si>
  <si>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</si>
  <si>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</si>
  <si>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</si>
  <si>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</si>
  <si>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</si>
  <si>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</si>
  <si>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</si>
  <si>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</si>
  <si>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Em chọn không tin tưởng hoàn toàn synchronized vì phát hiện ra nó chỉ khóa được luồng trên 1 JVM. Khi em mở 2 Terminal (giả lập 2 máy chủ), synchronized vô dụng và kho vẫn bị âm. Sau đó em ép AI đổi sang OS-level Lock (FileLock).</t>
  </si>
  <si>
    <t>Có, AI khẳng định chắc nịch rằng chỉ cần bọc hàm bằng synchronized là chống được mọi Race Condition.</t>
  </si>
  <si>
    <t>Có, kết quả test vỡ trận khi chạy 2 terminal, và code thực tế trong hàm sellWithFileLock().</t>
  </si>
  <si>
    <t>m bác bỏ thiết kế của AI vì AI cho các threads chạy tự do. Em chọn dùng CountDownLatch(1) làm cổng chặn, bắt 1000 threads đứng chờ lệnh countDown() rồi mới bung nổ để giả lập chính xác hiệu ứng Spike Traffic (nghẽn cổ chai) của Flash Sale.</t>
  </si>
  <si>
    <t>Có, AI vẽ flowchart bằng lệnh fork/join đơn giản và bảo lưu kết quả trực tiếp xuống CSV (gây thắt cổ chai ổ cứng).</t>
  </si>
  <si>
    <t>Có, file SimulatorFlow.puml đã sửa lại và đoạn code startGate.await() trong SimulatorController.java.</t>
  </si>
  <si>
    <t>Em đảo ngược quy trình của AI. Em bắt hệ thống phải trừ kho (Deduct Stock) THÀNH CÔNG trước, rồi mới được phép khởi tạo đối tượng Order/OrderDetail. Tránh sinh ra "đơn hàng rác" khi kho đã hết.</t>
  </si>
  <si>
    <t>Có, AI đề xuất luồng tuyến tính: Tạo Order trước -&gt; Trừ kho -&gt; Trừ xịt thì ráng mà xóa Order (gây phức tạp).</t>
  </si>
  <si>
    <t>Có, file OrderFlow.puml và hàm placeOrderInternal nơi thứ tự gọi hàm được sắp xếp cực kỳ nghiêm ngặt.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</si>
</sst>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3">
    <font>
      <sz val="11"/>
      <color theme="1"/>
      <name val="Calibri"/>
      <charset val="134"/>
      <scheme val="minor"/>
    </font>
    <font>
      <b/>
      <sz val="16"/>
      <color rgb="FF2E75B6"/>
      <name val="Calibri"/>
      <charset val="134"/>
      <scheme val="minor"/>
    </font>
    <font>
      <i/>
      <sz val="10"/>
      <color rgb="FF666666"/>
      <name val="Calibri"/>
      <charset val="134"/>
      <scheme val="minor"/>
    </font>
    <font>
      <b/>
      <sz val="14"/>
      <color rgb="FF2E75B6"/>
      <name val="Calibri"/>
      <charset val="134"/>
      <scheme val="minor"/>
    </font>
    <font>
      <b/>
      <sz val="11"/>
      <color rgb="FFFFFFFF"/>
      <name val="Calibri"/>
      <charset val="134"/>
      <scheme val="minor"/>
    </font>
    <font>
      <sz val="10"/>
      <name val="Calibri"/>
      <charset val="134"/>
      <scheme val="minor"/>
    </font>
    <font>
      <sz val="11"/>
      <name val="Calibri"/>
      <charset val="134"/>
    </font>
    <font>
      <b/>
      <sz val="12"/>
      <color rgb="FFFF0000"/>
      <name val="Calibri"/>
      <charset val="134"/>
      <scheme val="minor"/>
    </font>
    <font>
      <sz val="11"/>
      <color rgb="FFFF0000"/>
      <name val="Calibri"/>
      <charset val="134"/>
      <scheme val="minor"/>
    </font>
    <font>
      <i/>
      <sz val="10"/>
      <name val="Calibri"/>
      <charset val="134"/>
      <scheme val="minor"/>
    </font>
    <font>
      <b/>
      <sz val="11"/>
      <name val="Calibri"/>
      <charset val="134"/>
      <scheme val="minor"/>
    </font>
    <font>
      <b/>
      <sz val="16"/>
      <color rgb="FFFF0000"/>
      <name val="Calibri"/>
      <charset val="134"/>
      <scheme val="minor"/>
    </font>
    <font>
      <b/>
      <i/>
      <sz val="10"/>
      <color rgb="FFFF0000"/>
      <name val="Calibri"/>
      <charset val="134"/>
      <scheme val="minor"/>
    </font>
    <font>
      <i/>
      <sz val="9"/>
      <color rgb="FF666666"/>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5"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6" borderId="5" applyNumberFormat="0" applyAlignment="0" applyProtection="0">
      <alignment vertical="center"/>
    </xf>
    <xf numFmtId="0" fontId="23" fillId="7" borderId="6" applyNumberFormat="0" applyAlignment="0" applyProtection="0">
      <alignment vertical="center"/>
    </xf>
    <xf numFmtId="0" fontId="24" fillId="7" borderId="5" applyNumberFormat="0" applyAlignment="0" applyProtection="0">
      <alignment vertical="center"/>
    </xf>
    <xf numFmtId="0" fontId="25" fillId="8"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cellStyleXfs>
  <cellXfs count="34">
    <xf numFmtId="0" fontId="0" fillId="0" borderId="0" xfId="0"/>
    <xf numFmtId="0" fontId="0" fillId="0" borderId="0" xfId="0" applyFont="1" applyFill="1" applyAlignment="1"/>
    <xf numFmtId="0" fontId="1" fillId="0" borderId="0" xfId="0" applyFont="1" applyFill="1" applyAlignment="1">
      <alignment horizontal="center" vertical="center" wrapText="1"/>
    </xf>
    <xf numFmtId="0" fontId="2" fillId="0" borderId="0" xfId="0" applyFont="1" applyFill="1" applyAlignment="1">
      <alignment horizontal="center" vertical="center" wrapText="1"/>
    </xf>
    <xf numFmtId="0" fontId="3" fillId="0" borderId="0" xfId="0" applyFont="1" applyFill="1" applyAlignme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top" wrapText="1"/>
    </xf>
    <xf numFmtId="0" fontId="6" fillId="0" borderId="1" xfId="0" applyFont="1" applyFill="1" applyBorder="1" applyAlignment="1">
      <alignment horizontal="center" vertical="center" wrapText="1"/>
    </xf>
    <xf numFmtId="0" fontId="7" fillId="0" borderId="0" xfId="0" applyFont="1" applyFill="1" applyAlignment="1"/>
    <xf numFmtId="0" fontId="8" fillId="0" borderId="0" xfId="0" applyFont="1" applyFill="1" applyAlignment="1"/>
    <xf numFmtId="0" fontId="9" fillId="0" borderId="0" xfId="0" applyFont="1" applyFill="1" applyAlignment="1"/>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top"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11" fillId="0" borderId="0" xfId="0" applyFont="1" applyFill="1" applyAlignment="1">
      <alignment horizontal="center" vertical="center" wrapText="1"/>
    </xf>
    <xf numFmtId="0" fontId="12" fillId="0" borderId="0" xfId="0" applyFont="1" applyFill="1" applyAlignment="1">
      <alignment horizontal="center" vertical="center" wrapText="1"/>
    </xf>
    <xf numFmtId="0" fontId="0" fillId="0" borderId="0" xfId="0" applyFont="1" applyFill="1" applyAlignment="1">
      <alignment horizontal="left" vertical="top"/>
    </xf>
    <xf numFmtId="0" fontId="0" fillId="0" borderId="0" xfId="0" applyFont="1" applyFill="1" applyAlignment="1">
      <alignment wrapText="1"/>
    </xf>
    <xf numFmtId="0" fontId="1" fillId="0" borderId="0" xfId="0" applyFont="1" applyFill="1" applyAlignment="1">
      <alignment horizontal="center" vertical="top" wrapText="1"/>
    </xf>
    <xf numFmtId="0" fontId="0" fillId="0" borderId="0" xfId="0" applyFont="1" applyFill="1" applyAlignment="1">
      <alignment vertical="top" wrapText="1"/>
    </xf>
    <xf numFmtId="0" fontId="2" fillId="0" borderId="0" xfId="0" applyFont="1" applyFill="1" applyAlignment="1">
      <alignment horizontal="left" vertical="top" wrapText="1"/>
    </xf>
    <xf numFmtId="0" fontId="4" fillId="2" borderId="1" xfId="0" applyFont="1" applyFill="1" applyBorder="1" applyAlignment="1">
      <alignment horizontal="center" vertical="top" wrapText="1"/>
    </xf>
    <xf numFmtId="0" fontId="0" fillId="0" borderId="0" xfId="0" applyFont="1" applyFill="1" applyAlignment="1">
      <alignment horizontal="left" vertical="top" wrapText="1"/>
    </xf>
    <xf numFmtId="0" fontId="0" fillId="0" borderId="0" xfId="0" applyFont="1" applyFill="1" applyAlignment="1">
      <alignment horizontal="center" vertical="top"/>
    </xf>
    <xf numFmtId="0" fontId="10" fillId="0" borderId="0" xfId="0" applyFont="1" applyFill="1" applyAlignment="1"/>
    <xf numFmtId="0" fontId="0" fillId="0" borderId="0" xfId="0" applyFont="1" applyFill="1" applyAlignment="1">
      <alignment horizontal="right" vertical="top"/>
    </xf>
    <xf numFmtId="0" fontId="0" fillId="0" borderId="0" xfId="0" applyFont="1" applyFill="1" applyAlignment="1">
      <alignment horizontal="left"/>
    </xf>
    <xf numFmtId="0" fontId="0" fillId="4" borderId="0" xfId="0" applyFont="1" applyFill="1" applyAlignment="1">
      <alignment horizontal="left"/>
    </xf>
    <xf numFmtId="178" fontId="0" fillId="0" borderId="0" xfId="0" applyNumberFormat="1" applyFont="1" applyFill="1" applyAlignment="1">
      <alignment horizontal="left"/>
    </xf>
    <xf numFmtId="0" fontId="13" fillId="0" borderId="0" xfId="0" applyFont="1" applyFill="1" applyAlignment="1"/>
    <xf numFmtId="0" fontId="0" fillId="4" borderId="1" xfId="0" applyFont="1" applyFill="1" applyBorder="1" applyAlignment="1">
      <alignment horizontal="center" vertical="center" wrapText="1"/>
    </xf>
    <xf numFmtId="0" fontId="0" fillId="0" borderId="1" xfId="0" applyFont="1" applyFill="1" applyBorder="1" applyAlignment="1" quotePrefix="1">
      <alignment horizontal="left" vertical="top" wrapText="1"/>
    </xf>
    <xf numFmtId="0" fontId="0" fillId="0" borderId="0" xfId="0" applyFont="1" applyFill="1" applyAlignment="1" quotePrefix="1">
      <alignment vertical="top" wrapText="1"/>
    </xf>
    <xf numFmtId="0" fontId="0" fillId="0" borderId="0" xfId="0" applyFont="1" applyFill="1" applyAlignment="1" quotePrefix="1">
      <alignment horizontal="left" vertical="top" wrapText="1"/>
    </xf>
    <xf numFmtId="0" fontId="0" fillId="0" borderId="1" xfId="0" applyFont="1" applyFill="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workbookViewId="0">
      <selection activeCell="B30" sqref="B30"/>
    </sheetView>
  </sheetViews>
  <sheetFormatPr defaultColWidth="9" defaultRowHeight="15" outlineLevelCol="5"/>
  <cols>
    <col min="1" max="1" width="25" style="1" customWidth="1"/>
    <col min="2" max="2" width="51.8571428571429" style="1" customWidth="1"/>
    <col min="3" max="3" width="15" style="1" customWidth="1"/>
    <col min="4" max="4" width="49.8571428571429" style="1" customWidth="1"/>
    <col min="5" max="6" width="20" style="1" customWidth="1"/>
    <col min="7" max="16384" width="9" style="1"/>
  </cols>
  <sheetData>
    <row r="1" s="1" customFormat="1" ht="21" spans="1:6">
      <c r="A1" s="21" t="s">
        <v>0</v>
      </c>
      <c r="B1" s="26"/>
      <c r="C1" s="26"/>
      <c r="D1" s="26"/>
      <c r="E1" s="26"/>
      <c r="F1" s="26"/>
    </row>
    <row r="3" s="1" customFormat="1" ht="18.75" spans="1:6">
      <c r="A3" s="4" t="s">
        <v>1</v>
      </c>
    </row>
    <row r="4" s="1" customFormat="1" spans="1:6">
      <c r="A4" s="27" t="s">
        <v>2</v>
      </c>
      <c r="C4" s="1" t="s">
        <v>3</v>
      </c>
    </row>
    <row r="5" s="1" customFormat="1" spans="1:6">
      <c r="A5" s="27" t="s">
        <v>4</v>
      </c>
      <c r="C5" s="1" t="s">
        <v>5</v>
      </c>
    </row>
    <row r="6" s="1" customFormat="1" spans="1:6">
      <c r="A6" s="27" t="s">
        <v>6</v>
      </c>
      <c r="C6" s="1" t="s">
        <v>7</v>
      </c>
    </row>
    <row r="7" s="1" customFormat="1" spans="1:6">
      <c r="A7" s="27" t="s">
        <v>8</v>
      </c>
      <c r="C7" s="1" t="s">
        <v>9</v>
      </c>
    </row>
    <row r="9" s="1" customFormat="1" ht="18.75" spans="1:6">
      <c r="A9" s="4" t="s">
        <v>10</v>
      </c>
    </row>
    <row r="10" s="1" customFormat="1" spans="1:6">
      <c r="A10" s="27" t="s">
        <v>11</v>
      </c>
      <c r="B10" s="28" t="s">
        <v>12</v>
      </c>
      <c r="C10" s="29">
        <v>120</v>
      </c>
    </row>
    <row r="11" s="1" customFormat="1" spans="1:6">
      <c r="A11" s="27" t="s">
        <v>13</v>
      </c>
      <c r="C11" s="30">
        <v>18</v>
      </c>
    </row>
    <row r="12" s="1" customFormat="1" spans="1:6">
      <c r="A12" s="27" t="s">
        <v>14</v>
      </c>
      <c r="C12" s="31">
        <f>C11/C10</f>
        <v>0.15</v>
      </c>
      <c r="E12" s="32"/>
    </row>
    <row r="13" s="1" customFormat="1" spans="1:6">
      <c r="A13" s="27" t="s">
        <v>15</v>
      </c>
      <c r="C13" s="30">
        <v>12</v>
      </c>
    </row>
    <row r="15" s="1" customFormat="1" ht="18.75" spans="1:6">
      <c r="A15" s="4" t="s">
        <v>16</v>
      </c>
    </row>
    <row r="16" s="1" customFormat="1" spans="1:6">
      <c r="A16" s="5" t="s">
        <v>17</v>
      </c>
      <c r="B16" s="5" t="s">
        <v>18</v>
      </c>
      <c r="C16" s="5" t="s">
        <v>19</v>
      </c>
      <c r="D16" s="5" t="s">
        <v>20</v>
      </c>
    </row>
    <row r="17" s="1" customFormat="1" spans="1:4">
      <c r="A17" s="1" t="s">
        <v>21</v>
      </c>
      <c r="B17" s="1" t="s">
        <v>22</v>
      </c>
      <c r="C17" s="1" t="s">
        <v>23</v>
      </c>
      <c r="D17" s="1" t="s">
        <v>24</v>
      </c>
    </row>
    <row r="18" s="1" customFormat="1" spans="1:4">
      <c r="A18" s="1" t="s">
        <v>25</v>
      </c>
      <c r="B18" s="1" t="s">
        <v>26</v>
      </c>
      <c r="C18" s="1" t="s">
        <v>27</v>
      </c>
      <c r="D18" s="1" t="s">
        <v>28</v>
      </c>
    </row>
    <row r="19" s="1" customFormat="1" spans="1:4">
      <c r="A19" s="1" t="s">
        <v>29</v>
      </c>
      <c r="B19" s="1" t="s">
        <v>30</v>
      </c>
      <c r="C19" s="1" t="s">
        <v>31</v>
      </c>
      <c r="D19" s="1" t="s">
        <v>32</v>
      </c>
    </row>
    <row r="20" s="1" customFormat="1" spans="1:4">
      <c r="A20" s="16" t="s">
        <v>33</v>
      </c>
      <c r="B20" s="16" t="s">
        <v>34</v>
      </c>
      <c r="C20" s="16" t="s">
        <v>34</v>
      </c>
      <c r="D20" s="16" t="s">
        <v>34</v>
      </c>
    </row>
    <row r="22" s="1" customFormat="1" ht="18.75" spans="1:4">
      <c r="A22" s="4" t="s">
        <v>35</v>
      </c>
    </row>
    <row r="23" s="1" customFormat="1" spans="1:4">
      <c r="A23" s="5" t="s">
        <v>36</v>
      </c>
      <c r="B23" s="5" t="s">
        <v>37</v>
      </c>
      <c r="C23" s="5" t="s">
        <v>38</v>
      </c>
    </row>
    <row r="24" s="1" customFormat="1" spans="1:4">
      <c r="A24" s="16" t="s">
        <v>39</v>
      </c>
      <c r="B24" s="33">
        <v>2</v>
      </c>
      <c r="C24" s="15" t="s">
        <v>40</v>
      </c>
    </row>
    <row r="25" s="1" customFormat="1" spans="1:4">
      <c r="A25" s="16" t="s">
        <v>41</v>
      </c>
      <c r="B25" s="33">
        <v>3</v>
      </c>
      <c r="C25" s="15" t="s">
        <v>40</v>
      </c>
    </row>
    <row r="26" s="1" customFormat="1" spans="1:4">
      <c r="A26" s="16" t="s">
        <v>42</v>
      </c>
      <c r="B26" s="33">
        <v>4</v>
      </c>
      <c r="C26" s="15" t="s">
        <v>40</v>
      </c>
    </row>
    <row r="27" s="1" customFormat="1" spans="1:4">
      <c r="A27" s="16" t="s">
        <v>43</v>
      </c>
      <c r="B27" s="33">
        <v>9</v>
      </c>
      <c r="C27" s="15" t="s">
        <v>40</v>
      </c>
    </row>
  </sheetData>
  <mergeCells count="1">
    <mergeCell ref="A1:F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7"/>
  <sheetViews>
    <sheetView tabSelected="1" workbookViewId="0">
      <selection activeCell="F6" sqref="F6"/>
    </sheetView>
  </sheetViews>
  <sheetFormatPr defaultColWidth="10.7142857142857" defaultRowHeight="27" customHeight="1" outlineLevelCol="7"/>
  <cols>
    <col min="1" max="1" width="10.7142857142857" style="20" customWidth="1"/>
    <col min="2" max="2" width="21.5714285714286" style="20" customWidth="1"/>
    <col min="3" max="3" width="21.4285714285714" style="20" customWidth="1"/>
    <col min="4" max="4" width="21.8571428571429" style="20" customWidth="1"/>
    <col min="5" max="5" width="21.1428571428571" style="20" customWidth="1"/>
    <col min="6" max="6" width="32.2857142857143" style="20" customWidth="1"/>
    <col min="7" max="7" width="32.1428571428571" style="20" customWidth="1"/>
    <col min="8" max="8" width="32.2857142857143" style="20" customWidth="1"/>
    <col min="9" max="16384" width="10.7142857142857" style="20" customWidth="1"/>
  </cols>
  <sheetData>
    <row r="1" s="20" customFormat="1" customHeight="1" spans="1:8">
      <c r="A1" s="21" t="s">
        <v>44</v>
      </c>
      <c r="B1" s="22"/>
      <c r="C1" s="22"/>
      <c r="D1" s="22"/>
      <c r="E1" s="22"/>
      <c r="F1" s="22"/>
      <c r="G1" s="22"/>
      <c r="H1" s="22"/>
    </row>
    <row r="2" s="20" customFormat="1" customHeight="1" spans="1:8">
      <c r="A2" s="23" t="s">
        <v>45</v>
      </c>
      <c r="B2" s="22"/>
      <c r="C2" s="22"/>
      <c r="D2" s="22"/>
      <c r="E2" s="22"/>
      <c r="F2" s="22"/>
      <c r="G2" s="22"/>
      <c r="H2" s="22"/>
    </row>
    <row r="3" s="20" customFormat="1" customHeight="1" spans="1:8">
      <c r="A3" s="24" t="s">
        <v>46</v>
      </c>
      <c r="B3" s="24" t="s">
        <v>47</v>
      </c>
      <c r="C3" s="24" t="s">
        <v>48</v>
      </c>
      <c r="D3" s="24" t="s">
        <v>49</v>
      </c>
      <c r="E3" s="24" t="s">
        <v>50</v>
      </c>
      <c r="F3" s="24" t="s">
        <v>51</v>
      </c>
      <c r="G3" s="24" t="s">
        <v>52</v>
      </c>
      <c r="H3" s="24" t="s">
        <v>53</v>
      </c>
    </row>
    <row r="4" s="20" customFormat="1" ht="120" spans="1:8">
      <c r="A4" s="34" t="s">
        <v>54</v>
      </c>
      <c r="B4" s="16" t="s">
        <v>55</v>
      </c>
      <c r="C4" s="16" t="s">
        <v>39</v>
      </c>
      <c r="D4" s="16" t="s">
        <v>56</v>
      </c>
      <c r="E4" s="16" t="s">
        <v>57</v>
      </c>
      <c r="F4" s="16" t="s">
        <v>58</v>
      </c>
      <c r="G4" s="16" t="s">
        <v>59</v>
      </c>
      <c r="H4" s="16" t="s">
        <v>60</v>
      </c>
    </row>
    <row r="5" s="20" customFormat="1" ht="135" spans="1:8">
      <c r="A5" s="34" t="s">
        <v>61</v>
      </c>
      <c r="B5" s="16" t="s">
        <v>55</v>
      </c>
      <c r="C5" s="16" t="s">
        <v>42</v>
      </c>
      <c r="D5" s="16" t="s">
        <v>62</v>
      </c>
      <c r="E5" s="16" t="s">
        <v>63</v>
      </c>
      <c r="F5" s="16" t="s">
        <v>64</v>
      </c>
      <c r="G5" s="16" t="s">
        <v>65</v>
      </c>
      <c r="H5" s="16" t="s">
        <v>66</v>
      </c>
    </row>
    <row r="6" s="20" customFormat="1" ht="150" spans="1:8">
      <c r="A6" s="34" t="s">
        <v>67</v>
      </c>
      <c r="B6" s="16" t="s">
        <v>55</v>
      </c>
      <c r="C6" s="16" t="s">
        <v>43</v>
      </c>
      <c r="D6" s="16" t="s">
        <v>68</v>
      </c>
      <c r="E6" s="16" t="s">
        <v>69</v>
      </c>
      <c r="F6" s="16" t="s">
        <v>70</v>
      </c>
      <c r="G6" s="16" t="s">
        <v>71</v>
      </c>
      <c r="H6" s="34" t="s">
        <v>72</v>
      </c>
    </row>
    <row r="7" s="20" customFormat="1" ht="150" spans="1:8">
      <c r="A7" s="34" t="s">
        <v>73</v>
      </c>
      <c r="B7" s="16" t="s">
        <v>55</v>
      </c>
      <c r="C7" s="16" t="s">
        <v>43</v>
      </c>
      <c r="D7" s="16" t="s">
        <v>74</v>
      </c>
      <c r="E7" s="16" t="s">
        <v>75</v>
      </c>
      <c r="F7" s="16" t="s">
        <v>76</v>
      </c>
      <c r="G7" s="22" t="s">
        <v>77</v>
      </c>
      <c r="H7" s="35" t="s">
        <v>78</v>
      </c>
    </row>
    <row r="8" s="20" customFormat="1" ht="135" spans="1:8">
      <c r="A8" s="34" t="s">
        <v>79</v>
      </c>
      <c r="B8" s="16" t="s">
        <v>80</v>
      </c>
      <c r="C8" s="16" t="s">
        <v>41</v>
      </c>
      <c r="D8" s="16" t="s">
        <v>81</v>
      </c>
      <c r="E8" s="16" t="s">
        <v>82</v>
      </c>
      <c r="F8" s="16" t="s">
        <v>83</v>
      </c>
      <c r="G8" s="22" t="s">
        <v>84</v>
      </c>
      <c r="H8" s="35" t="s">
        <v>85</v>
      </c>
    </row>
    <row r="9" s="20" customFormat="1" ht="135" spans="1:8">
      <c r="A9" s="34" t="s">
        <v>86</v>
      </c>
      <c r="B9" s="16" t="s">
        <v>55</v>
      </c>
      <c r="C9" s="16" t="s">
        <v>42</v>
      </c>
      <c r="D9" s="16" t="s">
        <v>87</v>
      </c>
      <c r="E9" s="16" t="s">
        <v>88</v>
      </c>
      <c r="F9" s="16" t="s">
        <v>89</v>
      </c>
      <c r="G9" s="22" t="s">
        <v>90</v>
      </c>
      <c r="H9" s="35" t="s">
        <v>91</v>
      </c>
    </row>
    <row r="10" s="20" customFormat="1" ht="150" spans="1:8">
      <c r="A10" s="34" t="s">
        <v>92</v>
      </c>
      <c r="B10" s="16" t="s">
        <v>55</v>
      </c>
      <c r="C10" s="16" t="s">
        <v>43</v>
      </c>
      <c r="D10" s="16" t="s">
        <v>93</v>
      </c>
      <c r="E10" s="16" t="s">
        <v>94</v>
      </c>
      <c r="F10" s="16" t="s">
        <v>95</v>
      </c>
      <c r="G10" s="22" t="s">
        <v>96</v>
      </c>
      <c r="H10" s="35" t="s">
        <v>97</v>
      </c>
    </row>
    <row r="11" s="20" customFormat="1" ht="150" spans="1:8">
      <c r="A11" s="34" t="s">
        <v>98</v>
      </c>
      <c r="B11" s="16" t="s">
        <v>80</v>
      </c>
      <c r="C11" s="16" t="s">
        <v>39</v>
      </c>
      <c r="D11" s="16" t="s">
        <v>99</v>
      </c>
      <c r="E11" s="16" t="s">
        <v>100</v>
      </c>
      <c r="F11" s="16" t="s">
        <v>101</v>
      </c>
      <c r="G11" s="22" t="s">
        <v>102</v>
      </c>
      <c r="H11" s="35" t="s">
        <v>103</v>
      </c>
    </row>
    <row r="12" s="20" customFormat="1" ht="135" spans="1:8">
      <c r="A12" s="34" t="s">
        <v>104</v>
      </c>
      <c r="B12" s="16" t="s">
        <v>55</v>
      </c>
      <c r="C12" s="16" t="s">
        <v>43</v>
      </c>
      <c r="D12" s="16" t="s">
        <v>105</v>
      </c>
      <c r="E12" s="16" t="s">
        <v>106</v>
      </c>
      <c r="F12" s="16" t="s">
        <v>107</v>
      </c>
      <c r="G12" s="22" t="s">
        <v>108</v>
      </c>
      <c r="H12" s="35" t="s">
        <v>109</v>
      </c>
    </row>
    <row r="13" s="20" customFormat="1" ht="120" spans="1:8">
      <c r="A13" s="34" t="s">
        <v>110</v>
      </c>
      <c r="B13" s="16" t="s">
        <v>80</v>
      </c>
      <c r="C13" s="16" t="s">
        <v>41</v>
      </c>
      <c r="D13" s="16" t="s">
        <v>111</v>
      </c>
      <c r="E13" s="16" t="s">
        <v>112</v>
      </c>
      <c r="F13" s="16" t="s">
        <v>113</v>
      </c>
      <c r="G13" s="22" t="s">
        <v>114</v>
      </c>
      <c r="H13" s="22" t="s">
        <v>115</v>
      </c>
    </row>
    <row r="14" s="20" customFormat="1" ht="150" spans="1:8">
      <c r="A14" s="34" t="s">
        <v>116</v>
      </c>
      <c r="B14" s="16" t="s">
        <v>55</v>
      </c>
      <c r="C14" s="16" t="s">
        <v>43</v>
      </c>
      <c r="D14" s="16" t="s">
        <v>117</v>
      </c>
      <c r="E14" s="16" t="s">
        <v>118</v>
      </c>
      <c r="F14" s="16" t="s">
        <v>119</v>
      </c>
      <c r="G14" s="22" t="s">
        <v>120</v>
      </c>
      <c r="H14" s="35" t="s">
        <v>121</v>
      </c>
    </row>
    <row r="15" s="20" customFormat="1" ht="150" spans="1:8">
      <c r="A15" s="34" t="s">
        <v>122</v>
      </c>
      <c r="B15" s="16" t="s">
        <v>55</v>
      </c>
      <c r="C15" s="16" t="s">
        <v>43</v>
      </c>
      <c r="D15" s="16" t="s">
        <v>123</v>
      </c>
      <c r="E15" s="16" t="s">
        <v>124</v>
      </c>
      <c r="F15" s="16" t="s">
        <v>125</v>
      </c>
      <c r="G15" s="22" t="s">
        <v>126</v>
      </c>
      <c r="H15" s="36" t="s">
        <v>127</v>
      </c>
    </row>
    <row r="16" s="20" customFormat="1" ht="120" spans="1:8">
      <c r="A16" s="34" t="s">
        <v>128</v>
      </c>
      <c r="B16" s="16" t="s">
        <v>55</v>
      </c>
      <c r="C16" s="16" t="s">
        <v>41</v>
      </c>
      <c r="D16" s="16" t="s">
        <v>129</v>
      </c>
      <c r="E16" s="16" t="s">
        <v>130</v>
      </c>
      <c r="F16" s="16" t="s">
        <v>131</v>
      </c>
      <c r="G16" s="22" t="s">
        <v>132</v>
      </c>
      <c r="H16" s="35" t="s">
        <v>133</v>
      </c>
    </row>
    <row r="17" s="20" customFormat="1" ht="135" spans="1:8">
      <c r="A17" s="34" t="s">
        <v>134</v>
      </c>
      <c r="B17" s="16" t="s">
        <v>55</v>
      </c>
      <c r="C17" s="16" t="s">
        <v>42</v>
      </c>
      <c r="D17" s="16" t="s">
        <v>135</v>
      </c>
      <c r="E17" s="16" t="s">
        <v>136</v>
      </c>
      <c r="F17" s="16" t="s">
        <v>137</v>
      </c>
      <c r="G17" s="22" t="s">
        <v>138</v>
      </c>
      <c r="H17" s="35" t="s">
        <v>139</v>
      </c>
    </row>
    <row r="18" s="20" customFormat="1" ht="165" spans="1:8">
      <c r="A18" s="34" t="s">
        <v>140</v>
      </c>
      <c r="B18" s="16" t="s">
        <v>80</v>
      </c>
      <c r="C18" s="16" t="s">
        <v>43</v>
      </c>
      <c r="D18" s="16" t="s">
        <v>141</v>
      </c>
      <c r="E18" s="16" t="s">
        <v>142</v>
      </c>
      <c r="F18" s="16" t="s">
        <v>143</v>
      </c>
      <c r="G18" s="22" t="s">
        <v>144</v>
      </c>
      <c r="H18" s="35" t="s">
        <v>145</v>
      </c>
    </row>
    <row r="19" s="20" customFormat="1" ht="270" spans="1:8">
      <c r="A19" s="34" t="s">
        <v>146</v>
      </c>
      <c r="B19" s="16" t="s">
        <v>55</v>
      </c>
      <c r="C19" s="16" t="s">
        <v>42</v>
      </c>
      <c r="D19" s="16" t="s">
        <v>147</v>
      </c>
      <c r="E19" s="16" t="s">
        <v>148</v>
      </c>
      <c r="F19" s="16" t="s">
        <v>149</v>
      </c>
      <c r="G19" s="22" t="s">
        <v>150</v>
      </c>
      <c r="H19" s="22" t="s">
        <v>151</v>
      </c>
    </row>
    <row r="20" s="20" customFormat="1" ht="300" spans="1:8">
      <c r="A20" s="34" t="s">
        <v>152</v>
      </c>
      <c r="B20" s="16" t="s">
        <v>80</v>
      </c>
      <c r="C20" s="16" t="s">
        <v>43</v>
      </c>
      <c r="D20" s="16" t="s">
        <v>153</v>
      </c>
      <c r="E20" s="16" t="s">
        <v>154</v>
      </c>
      <c r="F20" s="16" t="s">
        <v>155</v>
      </c>
      <c r="G20" s="22" t="s">
        <v>156</v>
      </c>
      <c r="H20" s="22" t="s">
        <v>157</v>
      </c>
    </row>
    <row r="21" s="20" customFormat="1" ht="285" spans="1:8">
      <c r="A21" s="34" t="s">
        <v>158</v>
      </c>
      <c r="B21" s="16" t="s">
        <v>55</v>
      </c>
      <c r="C21" s="16" t="s">
        <v>43</v>
      </c>
      <c r="D21" s="16" t="s">
        <v>159</v>
      </c>
      <c r="E21" s="16" t="s">
        <v>160</v>
      </c>
      <c r="F21" s="16" t="s">
        <v>161</v>
      </c>
      <c r="G21" s="22" t="s">
        <v>162</v>
      </c>
      <c r="H21" s="22" t="s">
        <v>163</v>
      </c>
    </row>
    <row r="22" s="20" customFormat="1" customHeight="1" spans="1:8">
      <c r="A22" s="34" t="s">
        <v>164</v>
      </c>
      <c r="B22" s="16"/>
      <c r="C22" s="16"/>
      <c r="D22" s="16"/>
      <c r="E22" s="16"/>
      <c r="F22" s="16"/>
      <c r="G22" s="22"/>
      <c r="H22" s="22"/>
    </row>
    <row r="23" s="20" customFormat="1" customHeight="1" spans="1:8">
      <c r="A23" s="34" t="s">
        <v>165</v>
      </c>
      <c r="B23" s="16"/>
      <c r="C23" s="16"/>
      <c r="D23" s="16"/>
      <c r="E23" s="16"/>
      <c r="F23" s="16"/>
      <c r="G23" s="22"/>
      <c r="H23" s="22"/>
    </row>
    <row r="24" s="20" customFormat="1" customHeight="1" spans="1:8">
      <c r="A24" s="34" t="s">
        <v>166</v>
      </c>
      <c r="B24" s="16"/>
      <c r="C24" s="16"/>
      <c r="D24" s="16"/>
      <c r="E24" s="16"/>
      <c r="F24" s="16"/>
      <c r="G24" s="22"/>
      <c r="H24" s="22"/>
    </row>
    <row r="25" customHeight="1" spans="1:8">
      <c r="A25" s="34" t="s">
        <v>167</v>
      </c>
      <c r="B25" s="22"/>
      <c r="C25" s="22"/>
      <c r="D25" s="22"/>
      <c r="E25" s="22"/>
      <c r="F25" s="22"/>
      <c r="G25" s="22"/>
      <c r="H25" s="22"/>
    </row>
    <row r="26" customHeight="1" spans="1:8">
      <c r="A26" s="34" t="s">
        <v>168</v>
      </c>
      <c r="B26" s="22"/>
      <c r="C26" s="22"/>
      <c r="D26" s="22"/>
      <c r="E26" s="22"/>
      <c r="F26" s="22"/>
      <c r="G26" s="22"/>
      <c r="H26" s="22"/>
    </row>
    <row r="27" customHeight="1" spans="1:8">
      <c r="A27" s="34" t="s">
        <v>169</v>
      </c>
      <c r="B27" s="22"/>
      <c r="C27" s="22"/>
      <c r="D27" s="22"/>
      <c r="E27" s="22"/>
      <c r="F27" s="22"/>
      <c r="G27" s="22"/>
      <c r="H27" s="22"/>
    </row>
    <row r="28" customHeight="1" spans="1:8">
      <c r="A28" s="34" t="s">
        <v>170</v>
      </c>
      <c r="B28" s="22"/>
      <c r="C28" s="22"/>
      <c r="D28" s="22"/>
      <c r="E28" s="22"/>
      <c r="F28" s="22"/>
      <c r="G28" s="22"/>
      <c r="H28" s="22"/>
    </row>
    <row r="29" customHeight="1" spans="1:8">
      <c r="A29" s="34" t="s">
        <v>171</v>
      </c>
      <c r="B29" s="22"/>
      <c r="C29" s="22"/>
      <c r="D29" s="22"/>
      <c r="E29" s="22"/>
      <c r="F29" s="22"/>
      <c r="G29" s="22"/>
      <c r="H29" s="22"/>
    </row>
    <row r="30" s="20" customFormat="1" customHeight="1" spans="1:8">
      <c r="A30" s="34" t="s">
        <v>172</v>
      </c>
      <c r="B30" s="22"/>
      <c r="C30" s="22"/>
      <c r="D30" s="22"/>
      <c r="E30" s="22"/>
      <c r="F30" s="22"/>
      <c r="G30" s="22"/>
      <c r="H30" s="22"/>
    </row>
    <row r="31" s="20" customFormat="1" customHeight="1" spans="1:8">
      <c r="A31" s="34" t="s">
        <v>173</v>
      </c>
      <c r="B31" s="14"/>
      <c r="C31" s="14"/>
      <c r="D31" s="22"/>
      <c r="E31" s="22"/>
      <c r="F31" s="22"/>
      <c r="G31" s="22"/>
      <c r="H31" s="22"/>
    </row>
    <row r="32" s="20" customFormat="1" customHeight="1" spans="1:8">
      <c r="A32" s="34" t="s">
        <v>174</v>
      </c>
      <c r="B32" s="16"/>
      <c r="C32" s="16"/>
      <c r="D32" s="22"/>
      <c r="E32" s="22"/>
      <c r="F32" s="22"/>
      <c r="G32" s="22"/>
      <c r="H32" s="22"/>
    </row>
    <row r="33" s="20" customFormat="1" customHeight="1" spans="1:8">
      <c r="A33" s="34" t="s">
        <v>175</v>
      </c>
      <c r="B33" s="16"/>
      <c r="C33" s="16"/>
      <c r="D33" s="22"/>
      <c r="E33" s="22"/>
      <c r="F33" s="22"/>
      <c r="G33" s="22"/>
      <c r="H33" s="22"/>
    </row>
    <row r="34" s="20" customFormat="1" customHeight="1" spans="1:8">
      <c r="A34" s="34" t="s">
        <v>176</v>
      </c>
      <c r="B34" s="16"/>
      <c r="C34" s="16"/>
      <c r="D34" s="22"/>
      <c r="E34" s="22"/>
      <c r="F34" s="22"/>
      <c r="G34" s="22"/>
      <c r="H34" s="22"/>
    </row>
    <row r="35" s="20" customFormat="1" customHeight="1" spans="1:8">
      <c r="A35" s="34" t="s">
        <v>177</v>
      </c>
      <c r="B35" s="16"/>
      <c r="C35" s="16"/>
      <c r="D35" s="22"/>
      <c r="E35" s="22"/>
      <c r="F35" s="22"/>
      <c r="G35" s="22"/>
      <c r="H35" s="22"/>
    </row>
    <row r="36" s="20" customFormat="1" customHeight="1" spans="1:8">
      <c r="A36" s="34" t="s">
        <v>178</v>
      </c>
      <c r="B36" s="16"/>
      <c r="C36" s="16"/>
      <c r="D36" s="22"/>
      <c r="E36" s="22"/>
      <c r="F36" s="22"/>
      <c r="G36" s="22"/>
      <c r="H36" s="22"/>
    </row>
    <row r="37" customHeight="1" spans="1:8">
      <c r="A37" s="34" t="s">
        <v>179</v>
      </c>
      <c r="B37" s="22"/>
      <c r="C37" s="22"/>
      <c r="D37" s="22"/>
      <c r="E37" s="22"/>
      <c r="F37" s="22"/>
      <c r="G37" s="22"/>
      <c r="H37" s="22"/>
    </row>
  </sheetData>
  <mergeCells count="2">
    <mergeCell ref="A1:H1"/>
    <mergeCell ref="A2:H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topLeftCell="A5" workbookViewId="0">
      <selection activeCell="B16" sqref="B16"/>
    </sheetView>
  </sheetViews>
  <sheetFormatPr defaultColWidth="9" defaultRowHeight="26" customHeight="1" outlineLevelCol="5"/>
  <cols>
    <col min="1" max="1" width="12" style="1" customWidth="1"/>
    <col min="2" max="2" width="31" style="1" customWidth="1"/>
    <col min="3" max="6" width="30" style="1" customWidth="1"/>
    <col min="7" max="16384" width="9" style="1"/>
  </cols>
  <sheetData>
    <row r="1" s="1" customFormat="1" customHeight="1" spans="1:6">
      <c r="A1" s="17" t="s">
        <v>180</v>
      </c>
    </row>
    <row r="2" s="1" customFormat="1" customHeight="1" spans="1:6">
      <c r="A2" s="18" t="s">
        <v>181</v>
      </c>
    </row>
    <row r="3" s="1" customFormat="1" ht="51" customHeight="1" spans="1:6">
      <c r="A3" s="5" t="s">
        <v>182</v>
      </c>
      <c r="B3" s="5" t="s">
        <v>183</v>
      </c>
      <c r="C3" s="5" t="s">
        <v>184</v>
      </c>
      <c r="D3" s="5" t="s">
        <v>185</v>
      </c>
      <c r="E3" s="5" t="s">
        <v>186</v>
      </c>
      <c r="F3" s="5" t="s">
        <v>187</v>
      </c>
    </row>
    <row r="4" s="1" customFormat="1" ht="45" spans="1:6">
      <c r="A4" s="34" t="s">
        <v>116</v>
      </c>
      <c r="B4" s="16" t="s">
        <v>188</v>
      </c>
      <c r="C4" s="16" t="s">
        <v>189</v>
      </c>
      <c r="D4" s="16" t="s">
        <v>190</v>
      </c>
      <c r="E4" s="16" t="s">
        <v>191</v>
      </c>
      <c r="F4" s="16" t="s">
        <v>192</v>
      </c>
    </row>
    <row r="5" s="1" customFormat="1" ht="45" spans="1:6">
      <c r="A5" s="34" t="s">
        <v>110</v>
      </c>
      <c r="B5" s="16" t="s">
        <v>193</v>
      </c>
      <c r="C5" s="16" t="s">
        <v>194</v>
      </c>
      <c r="D5" s="16" t="s">
        <v>195</v>
      </c>
      <c r="E5" s="16" t="s">
        <v>196</v>
      </c>
      <c r="F5" s="16" t="s">
        <v>197</v>
      </c>
    </row>
    <row r="6" s="1" customFormat="1" ht="30" spans="1:6">
      <c r="A6" s="34" t="s">
        <v>54</v>
      </c>
      <c r="B6" s="16" t="s">
        <v>188</v>
      </c>
      <c r="C6" s="16" t="s">
        <v>198</v>
      </c>
      <c r="D6" s="16" t="s">
        <v>199</v>
      </c>
      <c r="E6" s="16" t="s">
        <v>200</v>
      </c>
      <c r="F6" s="16" t="s">
        <v>201</v>
      </c>
    </row>
    <row r="7" s="1" customFormat="1" ht="45" spans="1:6">
      <c r="A7" s="34" t="s">
        <v>67</v>
      </c>
      <c r="B7" s="16" t="s">
        <v>188</v>
      </c>
      <c r="C7" s="16" t="s">
        <v>202</v>
      </c>
      <c r="D7" s="16" t="s">
        <v>203</v>
      </c>
      <c r="E7" s="16" t="s">
        <v>204</v>
      </c>
      <c r="F7" s="16" t="s">
        <v>205</v>
      </c>
    </row>
    <row r="8" s="1" customFormat="1" ht="45" spans="1:6">
      <c r="A8" s="34" t="s">
        <v>61</v>
      </c>
      <c r="B8" s="16" t="s">
        <v>206</v>
      </c>
      <c r="C8" s="16" t="s">
        <v>207</v>
      </c>
      <c r="D8" s="16" t="s">
        <v>208</v>
      </c>
      <c r="E8" s="16" t="s">
        <v>209</v>
      </c>
      <c r="F8" s="16" t="s">
        <v>210</v>
      </c>
    </row>
    <row r="9" s="1" customFormat="1" ht="45" spans="1:6">
      <c r="A9" s="34" t="s">
        <v>73</v>
      </c>
      <c r="B9" s="16" t="s">
        <v>211</v>
      </c>
      <c r="C9" s="16" t="s">
        <v>212</v>
      </c>
      <c r="D9" s="16" t="s">
        <v>213</v>
      </c>
      <c r="E9" s="16" t="s">
        <v>214</v>
      </c>
      <c r="F9" s="16" t="s">
        <v>215</v>
      </c>
    </row>
    <row r="10" s="1" customFormat="1" ht="30" spans="1:6">
      <c r="A10" s="34" t="s">
        <v>79</v>
      </c>
      <c r="B10" s="16" t="s">
        <v>193</v>
      </c>
      <c r="C10" s="16" t="s">
        <v>216</v>
      </c>
      <c r="D10" s="16" t="s">
        <v>217</v>
      </c>
      <c r="E10" s="16" t="s">
        <v>218</v>
      </c>
      <c r="F10" s="16" t="s">
        <v>219</v>
      </c>
    </row>
    <row r="11" s="1" customFormat="1" ht="30" spans="1:6">
      <c r="A11" s="34" t="s">
        <v>86</v>
      </c>
      <c r="B11" s="16" t="s">
        <v>193</v>
      </c>
      <c r="C11" s="16" t="s">
        <v>220</v>
      </c>
      <c r="D11" s="16" t="s">
        <v>221</v>
      </c>
      <c r="E11" s="16" t="s">
        <v>222</v>
      </c>
      <c r="F11" s="16" t="s">
        <v>223</v>
      </c>
    </row>
    <row r="12" s="1" customFormat="1" ht="45" spans="1:6">
      <c r="A12" s="34" t="s">
        <v>92</v>
      </c>
      <c r="B12" s="16" t="s">
        <v>206</v>
      </c>
      <c r="C12" s="16" t="s">
        <v>224</v>
      </c>
      <c r="D12" s="16" t="s">
        <v>225</v>
      </c>
      <c r="E12" s="16" t="s">
        <v>226</v>
      </c>
      <c r="F12" s="16" t="s">
        <v>227</v>
      </c>
    </row>
    <row r="13" s="1" customFormat="1" ht="45" spans="1:6">
      <c r="A13" s="34" t="s">
        <v>122</v>
      </c>
      <c r="B13" s="16" t="s">
        <v>228</v>
      </c>
      <c r="C13" s="16" t="s">
        <v>229</v>
      </c>
      <c r="D13" s="16" t="s">
        <v>230</v>
      </c>
      <c r="E13" s="16" t="s">
        <v>231</v>
      </c>
      <c r="F13" s="16" t="s">
        <v>232</v>
      </c>
    </row>
    <row r="14" s="1" customFormat="1" ht="90" spans="1:6">
      <c r="A14" s="34" t="s">
        <v>146</v>
      </c>
      <c r="B14" s="16" t="s">
        <v>193</v>
      </c>
      <c r="C14" s="16" t="s">
        <v>233</v>
      </c>
      <c r="D14" s="16" t="s">
        <v>234</v>
      </c>
      <c r="E14" s="16" t="s">
        <v>235</v>
      </c>
      <c r="F14" s="16" t="s">
        <v>236</v>
      </c>
    </row>
    <row r="15" s="1" customFormat="1" ht="90" spans="1:6">
      <c r="A15" s="34" t="s">
        <v>152</v>
      </c>
      <c r="B15" s="16" t="s">
        <v>188</v>
      </c>
      <c r="C15" s="16" t="s">
        <v>237</v>
      </c>
      <c r="D15" s="16" t="s">
        <v>238</v>
      </c>
      <c r="E15" s="16" t="s">
        <v>239</v>
      </c>
      <c r="F15" s="16" t="s">
        <v>240</v>
      </c>
    </row>
    <row r="16" s="1" customFormat="1" customHeight="1" spans="1:6">
      <c r="A16" s="16"/>
      <c r="B16" s="16"/>
      <c r="C16" s="16"/>
      <c r="D16" s="16"/>
      <c r="E16" s="16"/>
      <c r="F16" s="16"/>
    </row>
    <row r="17" s="1" customFormat="1" customHeight="1" spans="1:6">
      <c r="A17" s="16"/>
      <c r="B17" s="16"/>
      <c r="C17" s="16"/>
      <c r="D17" s="16"/>
      <c r="E17" s="16"/>
      <c r="F17" s="16"/>
    </row>
    <row r="18" s="1" customFormat="1" customHeight="1" spans="1:6">
      <c r="A18" s="16"/>
      <c r="B18" s="16"/>
      <c r="C18" s="16"/>
      <c r="D18" s="16"/>
      <c r="E18" s="16"/>
      <c r="F18" s="16"/>
    </row>
    <row r="19" s="1" customFormat="1" customHeight="1" spans="1:6">
      <c r="A19" s="16"/>
      <c r="B19" s="16"/>
      <c r="C19" s="16"/>
      <c r="D19" s="16"/>
      <c r="E19" s="16"/>
      <c r="F19" s="16"/>
    </row>
    <row r="20" s="1" customFormat="1" customHeight="1" spans="1:6">
      <c r="A20" s="16"/>
      <c r="B20" s="16"/>
      <c r="C20" s="16"/>
      <c r="D20" s="16"/>
      <c r="E20" s="16"/>
      <c r="F20" s="16"/>
    </row>
    <row r="21" s="1" customFormat="1" customHeight="1" spans="1:6">
      <c r="A21" s="16"/>
      <c r="B21" s="16"/>
      <c r="C21" s="16"/>
      <c r="D21" s="16"/>
      <c r="E21" s="16"/>
      <c r="F21" s="16"/>
    </row>
    <row r="22" s="1" customFormat="1" customHeight="1" spans="1:6">
      <c r="A22" s="16"/>
      <c r="B22" s="16"/>
      <c r="C22" s="16"/>
      <c r="D22" s="16"/>
      <c r="E22" s="16"/>
      <c r="F22" s="16"/>
    </row>
    <row r="23" s="1" customFormat="1" customHeight="1" spans="1:6">
      <c r="A23" s="16"/>
      <c r="B23" s="16"/>
      <c r="C23" s="16"/>
      <c r="D23" s="16"/>
      <c r="E23" s="16"/>
      <c r="F23" s="16"/>
    </row>
    <row r="24" s="1" customFormat="1" customHeight="1" spans="1:6">
      <c r="A24" s="16"/>
      <c r="B24" s="16"/>
      <c r="C24" s="16"/>
      <c r="D24" s="16"/>
      <c r="E24" s="16"/>
      <c r="F24" s="16"/>
    </row>
    <row r="25" s="1" customFormat="1" customHeight="1" spans="1:6">
      <c r="A25" s="19"/>
      <c r="B25" s="19"/>
      <c r="C25" s="19"/>
      <c r="D25" s="19"/>
      <c r="E25" s="19"/>
      <c r="F25" s="19"/>
    </row>
    <row r="26" s="1" customFormat="1" customHeight="1" spans="1:6">
      <c r="A26" s="19"/>
      <c r="B26" s="19"/>
      <c r="C26" s="19"/>
      <c r="D26" s="19"/>
      <c r="E26" s="19"/>
      <c r="F26" s="19"/>
    </row>
    <row r="27" s="1" customFormat="1" customHeight="1" spans="1:6">
      <c r="A27" s="19"/>
      <c r="B27" s="19"/>
      <c r="C27" s="19"/>
      <c r="D27" s="19"/>
      <c r="E27" s="19"/>
      <c r="F27" s="19"/>
    </row>
    <row r="28" s="1" customFormat="1" customHeight="1" spans="1:6">
      <c r="A28" s="19"/>
      <c r="B28" s="19"/>
      <c r="C28" s="19"/>
      <c r="D28" s="19"/>
      <c r="E28" s="19"/>
      <c r="F28" s="19"/>
    </row>
    <row r="29" s="1" customFormat="1" customHeight="1" spans="1:6">
      <c r="A29" s="19"/>
      <c r="B29" s="19"/>
      <c r="C29" s="19"/>
      <c r="D29" s="19"/>
      <c r="E29" s="19"/>
      <c r="F29" s="19"/>
    </row>
    <row r="30" s="1" customFormat="1" customHeight="1" spans="1:6">
      <c r="A30" s="4" t="s">
        <v>241</v>
      </c>
    </row>
    <row r="31" s="1" customFormat="1" customHeight="1" spans="1:6">
      <c r="A31" s="14" t="s">
        <v>242</v>
      </c>
      <c r="B31" s="14" t="s">
        <v>243</v>
      </c>
      <c r="C31" s="14" t="s">
        <v>244</v>
      </c>
    </row>
    <row r="32" s="1" customFormat="1" customHeight="1" spans="1:6">
      <c r="A32" s="16" t="s">
        <v>228</v>
      </c>
      <c r="B32" s="16" t="s">
        <v>245</v>
      </c>
      <c r="C32" s="16" t="s">
        <v>246</v>
      </c>
    </row>
    <row r="33" s="1" customFormat="1" customHeight="1" spans="1:3">
      <c r="A33" s="16" t="s">
        <v>188</v>
      </c>
      <c r="B33" s="16" t="s">
        <v>247</v>
      </c>
      <c r="C33" s="16" t="s">
        <v>248</v>
      </c>
    </row>
    <row r="34" s="1" customFormat="1" customHeight="1" spans="1:3">
      <c r="A34" s="16" t="s">
        <v>206</v>
      </c>
      <c r="B34" s="16" t="s">
        <v>249</v>
      </c>
      <c r="C34" s="16" t="s">
        <v>250</v>
      </c>
    </row>
    <row r="35" s="1" customFormat="1" customHeight="1" spans="1:3">
      <c r="A35" s="16" t="s">
        <v>211</v>
      </c>
      <c r="B35" s="16" t="s">
        <v>251</v>
      </c>
      <c r="C35" s="16" t="s">
        <v>252</v>
      </c>
    </row>
    <row r="36" s="1" customFormat="1" customHeight="1" spans="1:3">
      <c r="A36" s="16" t="s">
        <v>193</v>
      </c>
      <c r="B36" s="16" t="s">
        <v>253</v>
      </c>
      <c r="C36" s="16" t="s">
        <v>254</v>
      </c>
    </row>
  </sheetData>
  <mergeCells count="2">
    <mergeCell ref="A1:F1"/>
    <mergeCell ref="A2:F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topLeftCell="A7" workbookViewId="0">
      <selection activeCell="H8" sqref="H8"/>
    </sheetView>
  </sheetViews>
  <sheetFormatPr defaultColWidth="9" defaultRowHeight="15" outlineLevelCol="3"/>
  <cols>
    <col min="1" max="1" width="8" style="1" customWidth="1"/>
    <col min="2" max="2" width="60" style="1" customWidth="1"/>
    <col min="3" max="3" width="38.8571428571429" style="1" customWidth="1"/>
    <col min="4" max="4" width="30" style="1" customWidth="1"/>
    <col min="5" max="16384" width="9" style="1"/>
  </cols>
  <sheetData>
    <row r="1" s="1" customFormat="1" ht="21" spans="1:4">
      <c r="A1" s="2" t="s">
        <v>255</v>
      </c>
    </row>
    <row r="2" s="1" customFormat="1" spans="1:4">
      <c r="A2" s="3" t="s">
        <v>256</v>
      </c>
    </row>
    <row r="4" s="1" customFormat="1" ht="18.75" spans="1:4">
      <c r="A4" s="4" t="s">
        <v>257</v>
      </c>
    </row>
    <row r="5" s="1" customFormat="1" spans="1:4">
      <c r="A5" s="5" t="s">
        <v>258</v>
      </c>
      <c r="B5" s="6" t="s">
        <v>259</v>
      </c>
      <c r="C5" s="5" t="s">
        <v>260</v>
      </c>
      <c r="D5" s="6" t="s">
        <v>261</v>
      </c>
    </row>
    <row r="6" s="1" customFormat="1" ht="63.75" spans="1:4">
      <c r="A6" s="7" t="s">
        <v>262</v>
      </c>
      <c r="B6" s="8" t="s">
        <v>263</v>
      </c>
      <c r="C6" s="9" t="s">
        <v>264</v>
      </c>
      <c r="D6" s="8" t="s">
        <v>265</v>
      </c>
    </row>
    <row r="7" s="1" customFormat="1" ht="63.75" spans="1:4">
      <c r="A7" s="7" t="s">
        <v>266</v>
      </c>
      <c r="B7" s="8" t="s">
        <v>267</v>
      </c>
      <c r="C7" s="9" t="s">
        <v>264</v>
      </c>
      <c r="D7" s="8" t="s">
        <v>268</v>
      </c>
    </row>
    <row r="8" s="1" customFormat="1" ht="63.75" spans="1:4">
      <c r="A8" s="7" t="s">
        <v>269</v>
      </c>
      <c r="B8" s="8" t="s">
        <v>270</v>
      </c>
      <c r="C8" s="9" t="s">
        <v>264</v>
      </c>
      <c r="D8" s="8" t="s">
        <v>271</v>
      </c>
    </row>
    <row r="9" s="1" customFormat="1" ht="38.25" spans="1:4">
      <c r="A9" s="7" t="s">
        <v>272</v>
      </c>
      <c r="B9" s="8" t="s">
        <v>273</v>
      </c>
      <c r="C9" s="9" t="s">
        <v>264</v>
      </c>
      <c r="D9" s="8" t="s">
        <v>274</v>
      </c>
    </row>
    <row r="10" s="1" customFormat="1" ht="63.75" spans="1:4">
      <c r="A10" s="7" t="s">
        <v>275</v>
      </c>
      <c r="B10" s="8" t="s">
        <v>276</v>
      </c>
      <c r="C10" s="9" t="s">
        <v>264</v>
      </c>
      <c r="D10" s="8" t="s">
        <v>277</v>
      </c>
    </row>
    <row r="12" s="1" customFormat="1" ht="18.75" spans="1:4">
      <c r="A12" s="4" t="s">
        <v>278</v>
      </c>
    </row>
    <row r="13" s="1" customFormat="1" spans="1:4">
      <c r="A13" s="5" t="s">
        <v>258</v>
      </c>
      <c r="B13" s="6" t="s">
        <v>259</v>
      </c>
      <c r="C13" s="5" t="s">
        <v>260</v>
      </c>
      <c r="D13" s="6" t="s">
        <v>279</v>
      </c>
    </row>
    <row r="14" s="1" customFormat="1" ht="25.5" spans="1:4">
      <c r="A14" s="7" t="s">
        <v>262</v>
      </c>
      <c r="B14" s="8" t="s">
        <v>280</v>
      </c>
      <c r="C14" s="9" t="s">
        <v>264</v>
      </c>
      <c r="D14" s="8" t="s">
        <v>281</v>
      </c>
    </row>
    <row r="15" s="1" customFormat="1" ht="25.5" spans="1:4">
      <c r="A15" s="7" t="s">
        <v>266</v>
      </c>
      <c r="B15" s="8" t="s">
        <v>282</v>
      </c>
      <c r="C15" s="9" t="s">
        <v>264</v>
      </c>
      <c r="D15" s="8" t="s">
        <v>283</v>
      </c>
    </row>
    <row r="16" s="1" customFormat="1" ht="25.5" spans="1:4">
      <c r="A16" s="7" t="s">
        <v>269</v>
      </c>
      <c r="B16" s="8" t="s">
        <v>284</v>
      </c>
      <c r="C16" s="9" t="s">
        <v>264</v>
      </c>
      <c r="D16" s="8" t="s">
        <v>285</v>
      </c>
    </row>
    <row r="17" s="1" customFormat="1" ht="25.5" spans="1:4">
      <c r="A17" s="7" t="s">
        <v>272</v>
      </c>
      <c r="B17" s="8" t="s">
        <v>286</v>
      </c>
      <c r="C17" s="9" t="s">
        <v>264</v>
      </c>
      <c r="D17" s="8" t="s">
        <v>287</v>
      </c>
    </row>
    <row r="18" s="1" customFormat="1" ht="25.5" spans="1:4">
      <c r="A18" s="7" t="s">
        <v>275</v>
      </c>
      <c r="B18" s="8" t="s">
        <v>288</v>
      </c>
      <c r="C18" s="9" t="s">
        <v>264</v>
      </c>
      <c r="D18" s="8" t="s">
        <v>289</v>
      </c>
    </row>
    <row r="20" s="1" customFormat="1" ht="15.75" spans="1:4">
      <c r="A20" s="10" t="s">
        <v>290</v>
      </c>
    </row>
    <row r="21" s="1" customFormat="1" spans="1:4">
      <c r="A21" s="11" t="s">
        <v>291</v>
      </c>
    </row>
    <row r="22" s="1" customFormat="1" spans="1:4">
      <c r="A22" s="11" t="s">
        <v>292</v>
      </c>
    </row>
    <row r="25" s="1" customFormat="1" ht="18.75" spans="1:4">
      <c r="A25" s="4" t="s">
        <v>293</v>
      </c>
    </row>
    <row r="26" s="1" customFormat="1" spans="1:4">
      <c r="A26" s="12" t="s">
        <v>294</v>
      </c>
    </row>
    <row r="27" s="1" customFormat="1" ht="45" spans="1:4">
      <c r="A27" s="13" t="s">
        <v>46</v>
      </c>
      <c r="B27" s="14" t="s">
        <v>295</v>
      </c>
      <c r="C27" s="14" t="s">
        <v>296</v>
      </c>
      <c r="D27" s="14" t="s">
        <v>297</v>
      </c>
    </row>
    <row r="28" s="1" customFormat="1" ht="60" spans="1:4">
      <c r="A28" s="37" t="s">
        <v>110</v>
      </c>
      <c r="B28" s="16" t="s">
        <v>298</v>
      </c>
      <c r="C28" s="16" t="s">
        <v>299</v>
      </c>
      <c r="D28" s="16" t="s">
        <v>300</v>
      </c>
    </row>
    <row r="29" s="1" customFormat="1" ht="60" spans="1:4">
      <c r="A29" s="37" t="s">
        <v>152</v>
      </c>
      <c r="B29" s="16" t="s">
        <v>301</v>
      </c>
      <c r="C29" s="16" t="s">
        <v>302</v>
      </c>
      <c r="D29" s="16" t="s">
        <v>303</v>
      </c>
    </row>
    <row r="30" s="1" customFormat="1" ht="60" spans="1:4">
      <c r="A30" s="37" t="s">
        <v>158</v>
      </c>
      <c r="B30" s="16" t="s">
        <v>304</v>
      </c>
      <c r="C30" s="16" t="s">
        <v>305</v>
      </c>
      <c r="D30" s="16" t="s">
        <v>306</v>
      </c>
    </row>
  </sheetData>
  <mergeCells count="2">
    <mergeCell ref="A1:D1"/>
    <mergeCell ref="A2:D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 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TG</dc:creator>
  <cp:lastModifiedBy>Huy TG</cp:lastModifiedBy>
  <dcterms:created xsi:type="dcterms:W3CDTF">2026-06-07T14:22:00Z</dcterms:created>
  <dcterms:modified xsi:type="dcterms:W3CDTF">2026-07-24T16:18:32Z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2145347AFF94484F8B82216EC7FBE636_12</vt:lpwstr>
  </property>
  <property fmtid="{D5CDD505-2E9C-101B-9397-08002B2CF9AE}" pid="3" name="KSOProductBuildVer">
    <vt:lpwstr>1033-12.1.0.27458</vt:lpwstr>
  </property>
  <property fmtid="{D5CDD505-2E9C-101B-9397-08002B2CF9AE}" pid="4" name="CalculationRule">
    <vt:i4>0</vt:i4>
  </property>
</Properties>
</file>