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1"/>
  </bookViews>
  <sheets>
    <sheet name="1. Metadata &amp; Summary" sheetId="1" r:id="rId1"/>
    <sheet name="2. Detailed Audit Log" sheetId="2" r:id="rId2"/>
    <sheet name="3. Hallucination Detection" sheetId="3" r:id="rId3"/>
    <sheet name="4. Self 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<sst xmlns="http://schemas.openxmlformats.org/spreadsheetml/2006/main" count="358" uniqueCount="265">
  <si>
    <t>AI AUDIT LOG - METADATA &amp; SUMMARY</t>
  </si>
  <si>
    <t>STUDENT INFORMATION</t>
  </si>
  <si>
    <t>Student Name:</t>
  </si>
  <si>
    <t>Truong Gia Huy</t>
  </si>
  <si>
    <t>Student ID:</t>
  </si>
  <si>
    <t>QE190139</t>
  </si>
  <si>
    <t>Course:</t>
  </si>
  <si>
    <t>LAB211</t>
  </si>
  <si>
    <t>Assignment:</t>
  </si>
  <si>
    <t>FlashSale</t>
  </si>
  <si>
    <t>AI USAGE SUMMARY</t>
  </si>
  <si>
    <t>Total Prompts Used (all AI tools):</t>
  </si>
  <si>
    <t>~</t>
  </si>
  <si>
    <t>Core Prompts Logged:</t>
  </si>
  <si>
    <t>Selection Ratio:</t>
  </si>
  <si>
    <t>Hallucination Detected:</t>
  </si>
  <si>
    <t>AI TOOLS USED</t>
  </si>
  <si>
    <t>AI Tool</t>
  </si>
  <si>
    <t>Purpose</t>
  </si>
  <si>
    <t>Frequency</t>
  </si>
  <si>
    <t>Main Value</t>
  </si>
  <si>
    <t>Antigravity (Claude)</t>
  </si>
  <si>
    <t>Architecture analysis, code review, pair-programming</t>
  </si>
  <si>
    <t>High</t>
  </si>
  <si>
    <t>Deep code understanding, design pattern analysis</t>
  </si>
  <si>
    <t>DeepSeek</t>
  </si>
  <si>
    <t>Brainstorming, algorithm design</t>
  </si>
  <si>
    <t>Medium</t>
  </si>
  <si>
    <t>Rapid prototyping</t>
  </si>
  <si>
    <t>NotebookLM</t>
  </si>
  <si>
    <t>Document synthesis, report generation</t>
  </si>
  <si>
    <t>Low</t>
  </si>
  <si>
    <t>Summarize project docs</t>
  </si>
  <si>
    <t>[Add more...]</t>
  </si>
  <si>
    <t/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</si>
  <si>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</si>
  <si>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</si>
  <si>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</si>
  <si>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</si>
  <si>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</si>
  <si>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</si>
  <si>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</si>
  <si>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</si>
  <si>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</si>
  <si>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</si>
  <si>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</si>
  <si>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</si>
  <si>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</si>
  <si>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</si>
  <si>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</si>
  <si>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</si>
  <si>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</si>
  <si>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</si>
  <si>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</si>
  <si>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</si>
  <si>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Problem Solving</t>
  </si>
  <si>
    <t>(T1) Cần tạo mock data lớn bằng DataGenerator nhưng tràn RAM.</t>
  </si>
  <si>
    <t>"Làm sao sinh 100k dòng dữ liệu CSV không lỗi bộ nhớ?"</t>
  </si>
  <si>
    <t>Đề xuất dùng ArrayList để chứa 100k Object rồi ghi 1 lần.</t>
  </si>
  <si>
    <t>Critical Thinking: Sai. Lưu 100k Object làm tràn RAM 4GB.
Contextualization: Máy lab yếu.
Creative Synthesis: Dùng BufferedWriter sinh 1 object -&gt; ghi ngay -&gt; GC.
Decision: Chọn Stream để hệ thống ổn định.</t>
  </si>
  <si>
    <t xml:space="preserve"> Log văng lỗi: java.lang.OutOfMemoryError: Java heap space
- Code chênh lệch (Delta):
while(count &lt; 100000) {
  bufferedWriter.write(obj.toCsv());
} (Không lưu mảng)</t>
  </si>
  <si>
    <t>002</t>
  </si>
  <si>
    <t>(T2) Parsing file CSV bị lỗi do có dấu phẩy bên trong String.</t>
  </si>
  <si>
    <t>"Code String.split(\",\") bị vỡ mảng khi thuộc tính có dấu phẩy, sửa thế nào?"</t>
  </si>
  <si>
    <t>Đề xuất dùng Regex phức tạp ,(?=(?:[^\"]*\"[^\"]*\")*[^\"]*$).</t>
  </si>
  <si>
    <t>Critical Thinking: Regex quá chậm khi parse 100k dòng.
Contextualization: App Console cần tối ưu tốc độ đọc file.
Creative Synthesis: Tự viết thuật toán duyệt từng ký tự (char-by-char state machine).
Decision: Dùng manual parser thay vì regex để tăng tốc x10.</t>
  </si>
  <si>
    <t>File chứng minh: CsvParser.java</t>
  </si>
  <si>
    <t>003</t>
  </si>
  <si>
    <t>(T2) Lỗi nhập liệu ở Menu Console (InputMismatchException).</t>
  </si>
  <si>
    <t>"Menu hay bị văng lỗi hoặc vòng lặp vô tận khi nhập chữ cái vào scanner.nextInt()"</t>
  </si>
  <si>
    <t>Khuyên dùng try-catch bọc quanh scanner.nextInt().</t>
  </si>
  <si>
    <t>Critical Thinking: Sai. nextInt() ném lỗi nhưng không hút ký tự xuống dòng \n, gây infinite loop.
Contextualization: UI Console cần cực kỳ trâu bò.
Creative Synthesis: Ép dùng scanner.nextLine() và tự Integer.parseInt().
Decision: Chuẩn hóa toàn bộ Input Utils.</t>
  </si>
  <si>
    <t>- Lỗi AI mắc phải: Infinite Loop văng log liên tục trên màn hình.
- Code chuẩn (Delta):
int val = Integer.parseInt(scanner.nextLine().trim());)</t>
  </si>
  <si>
    <t>004</t>
  </si>
  <si>
    <t>(T3) Chuyển đổi dữ liệu ngày tháng (Date/Time) để lưu CSV.</t>
  </si>
  <si>
    <t>"Làm sao parse và format ngày tháng trong Model?"</t>
  </si>
  <si>
    <t>AI đề xuất dùng SimpleDateFormat và java.util.Date.</t>
  </si>
  <si>
    <t>Critical Thinking: Cũ rích và không Thread-safe.
Contextualization: Dự án Java 17+ và xử lý Concurrency (Tuần 7) cần sự an toàn.
Creative Synthesis: Yêu cầu AI làm lại bằng LocalDateTime và DateTimeFormatter.
Decision: Áp dụng Java 8 Time API trên toàn source code.</t>
  </si>
  <si>
    <t>- File chứng minh: DateUtils.java
- Code chuẩn (Delta): Sử dụng DateTimeFormatter.ofPattern("yyyy-MM-dd HH:mm") tĩnh (static final) để đảm bảo Thread-safe.</t>
  </si>
  <si>
    <t>005</t>
  </si>
  <si>
    <t>Decision Making</t>
  </si>
  <si>
    <t>(T4) Áp dụng MVC. Controller cần trả kết quả ra màn hình.</t>
  </si>
  <si>
    <t>"Viết hàm xử lý đặt hàng trong OrderController và in kết quả"</t>
  </si>
  <si>
    <t>Viết lệnh System.out.println trực tiếp trong Controller.</t>
  </si>
  <si>
    <t>Critical Thinking: Vi phạm MVC (View dính Controller).
Contextualization: Dự án console chia layer khắt khe.
Creative Synthesis: Trả về ControllerResult mang data cho View in.
Decision: Thiết kế class ControllerResult làm chuẩn.</t>
  </si>
  <si>
    <t>- Lỗi AI mắc phải: System.out.println("Đặt hàng OK");
- Code chuẩn (Delta): return new ControllerResult(true, "Đặt hàng OK", data);</t>
  </si>
  <si>
    <t>006</t>
  </si>
  <si>
    <t>(T5) Quản lý phiên đăng nhập (Login Session).</t>
  </si>
  <si>
    <t>"Làm sao để View biết Customer nào đang đăng nhập?"</t>
  </si>
  <si>
    <t>Gợi ý dùng biến public static Customer trong Entity.</t>
  </si>
  <si>
    <t>Critical Thinking: Vi phạm SRP. Entity không quản lý state.
Contextualization: Cần nơi an toàn quản lý Session đa quyền (Admin/Seller/Guest).
Creative Synthesis: Thiết kế AuthenticationState Singleton.
Decision: Áp dụng Singleton thay vì Static bừa bãi.</t>
  </si>
  <si>
    <t>- File chứng minh: controller/AuthenticationState.java
- Code chuẩn (Delta):
private static AuthenticationState instance;
public Customer getCurrentUser()</t>
  </si>
  <si>
    <t>007</t>
  </si>
  <si>
    <t>(T5) Logic phê duyệt tài khoản mới và mở khóa tài khoản (Admin).</t>
  </si>
  <si>
    <t>"Viết hàm duyệt tài khoản PENDING và mở khóa cho BANNED"</t>
  </si>
  <si>
    <t>Gộp chung tính năng: dùng một hàm approveCustomer duy nhất.</t>
  </si>
  <si>
    <t>Critical Thinking: Sai logic nghiệp vụ. Có thể vô tình duyệt cả user bị cấm.
Contextualization: User Flow phân biệt rạch ròi 2 nghiệp vụ.
Creative Synthesis: Ép AI tách hàm unbanCustomer, thêm if (status != BANNED) throw Error.
Decision: Chia nhỏ hàm để an toàn dữ liệu.</t>
  </si>
  <si>
    <t>- Lỗi AI mắc phải: Gán mù quáng status = APPROVED
- Code chuẩn (Delta):
if(cust.getStatus() != AccountStatus.BANNED) throw new Exception("Sai luồng nghiệp vụ!");</t>
  </si>
  <si>
    <t>008</t>
  </si>
  <si>
    <t>(T6) Cấu trúc quyền Admin và Seller quản lý Order.</t>
  </si>
  <si>
    <t>"Admin và Seller đều quản lý Order, có nên gộp chung Controller?"</t>
  </si>
  <si>
    <t>Đề xuất tạo 1 ManageOrderController chung và truyền param "Role".</t>
  </si>
  <si>
    <t>Critical Thinking: Tạo ra God Class, vi phạm SRP. Seller chỉ xem order của mình, Admin xem tất cả.
Contextualization: Phân quyền hệ thống yêu cầu bảo mật cấp hàm.
Creative Synthesis: Tách riêng SellerController và AdminController.
Decision: Chia layer để code linh hoạt, dễ bảo trì.</t>
  </si>
  <si>
    <t>- Cấu trúc thư mục:
src/controller/SellerController.java
src/controller/AdminController.java
Cùng kế thừa BaseController.java</t>
  </si>
  <si>
    <t>009</t>
  </si>
  <si>
    <t>(T6) Chặn các khung giờ Flash Sale chồng chéo nhau.</t>
  </si>
  <si>
    <t>"Viết hàm validate không cho phép 2 FlashSale trùng giờ."</t>
  </si>
  <si>
    <t>Đề xuất kiểm tra new_start &lt; old_end &amp;&amp; new_end &gt; old_start.</t>
  </si>
  <si>
    <t>Critical Thinking: Chạy tốt phần lõi nhưng bỏ quên edge case (trùng đúng biên giờ sát mí nhau).
Contextualization: FlashSale nối tiếp nhau liền tù tì rất phổ biến.
Creative Synthesis: Chỉnh lại điều kiện biên (&lt;=, &gt;=) cẩn thận.
Decision: Tự hoàn thiện thuật toán chặn lố giờ.</t>
  </si>
  <si>
    <t>- Lỗi AI mắc phải: Hụt dấu bằng ở phép so sánh (Boundary Value Analysis).
- Code chuẩn (Delta):
(newStart.compareTo(oldEnd) &lt; 0 &amp;&amp; newEnd.compareTo(oldStart) &gt; 0)</t>
  </si>
  <si>
    <t>010</t>
  </si>
  <si>
    <t>(T7) Giải quyết Race Condition khi 1000 người ghi vào CSV.</t>
  </si>
  <si>
    <t>"Xử lý Race Condition khi 1000 người truy cập CSV?"</t>
  </si>
  <si>
    <t>Bọc từ khóa synchronized vào hàm placeOrder().</t>
  </si>
  <si>
    <t>Critical Thinking: Rất nông cạn. synchronized chỉ khóa trong 1 JVM.
Contextualization: Chạy đa Terminal thì kho vẫn bị âm.
Creative Synthesis: Bắt AI dùng FileChannel.lock() khóa ở cấp HĐH.
Decision: Phủ quyết AI, triển khai OS Lock.</t>
  </si>
  <si>
    <t>Chạy 2 Terminal riêng biệt cùng lúc. In ra dòng: Tồn kho: -1 (Lỗi) do synchronized bị xuyên thủng.
- Code khắc phục: Kích hoạt FileChannel.lock()</t>
  </si>
  <si>
    <t>011</t>
  </si>
  <si>
    <t>(T7) Lỗi crash chương trình khi dùng FileChannel.lock().</t>
  </si>
  <si>
    <t>"Tại sao hệ thống văng IOException khi đang lock file trên Windows?"</t>
  </si>
  <si>
    <t>Khuyên lấp liếm bằng try-catch vì bảo "lỗi nhỏ trên một số OS".</t>
  </si>
  <si>
    <t>Critical Thinking: Cực kỳ nguy hiểm. Môi trường Windows FPTU sẽ chết cứng.
Contextualization: OS Windows có cơ chế Exclusive Lock cực đoan.
Creative Synthesis: Ghi raw ByteBuffer trực tiếp thay vì tạo Stream mới.
Decision: Bác bỏ AI, viết lại toàn bộ core I/O.</t>
  </si>
  <si>
    <t>- Log văng lỗi: java.io.IOException: The process cannot access the file because another process has locked a portion...
- Code khắc phục: Dùng channel.write(ByteBuffer.wrap(bytes))</t>
  </si>
  <si>
    <t>012</t>
  </si>
  <si>
    <t>(T7) Lưu trạng thái Success/Fail vào Transaction Log.</t>
  </si>
  <si>
    <t>"Làm sao biết Transaction thành công hay thất bại nếu dùng NO_LOCK?"</t>
  </si>
  <si>
    <t>Bảo check stock &gt; 0 thì set Success = true.</t>
  </si>
  <si>
    <t xml:space="preserve">Critical Thinking: Trong môi trường đa luồng, check stock &gt; 0 là vô nghĩa vì bị giành giật.
Contextualization: Cần kết quả thật từ kho lưu trữ.
Creative Synthesis: Bắt Exception từ repository ném ra để kết luận Status.
Decision: Log giao dịch phản ánh trung thực kết quả chạy lệnh. </t>
  </si>
  <si>
    <t>- Logic chuẩn (Delta): Dựa vào khối try { placeOrder() } catch(Exception) { isSuccess = false; } để ghi log chính xác tuyệt đối.</t>
  </si>
  <si>
    <t>013</t>
  </si>
  <si>
    <t>(T7) Ghép tính năng Giỏ hàng bị thiếu log giao dịch.</t>
  </si>
  <si>
    <t>"Tìm lỗi xung đột giúp tôi khi ghép nhánh code của dev khác."</t>
  </si>
  <si>
    <t>AI phát hiện các hàm checkout Giỏ hàng mới KHÔNG gọi OrderTransactionRepository.</t>
  </si>
  <si>
    <t>Critical Thinking: Lỗ hổng lớn làm sai lệch Module Báo Cáo.
Contextualization: Lab yêu cầu phải minh bạch giao dịch.
Creative Synthesis: Bắt AI inject txRepo vào Controller và ghi log.
Decision: Chấp thuận phương án sửa đổi.</t>
  </si>
  <si>
    <t>- Lỗi của dev: Console in báo mua xong Cart nhưng file Log trống không.
- Code khắc phục: Gọi lệnh txRepo.add(new OrderTransaction(...)) cuối hàm Checkout Cart.))</t>
  </si>
  <si>
    <t>014</t>
  </si>
  <si>
    <t>(T7) Hàm sinh ID đơn hàng (ORD) dễ bị trùng do đếm count().</t>
  </si>
  <si>
    <t>"Lên plan những thứ cần sửa để đồng bộ dự án."</t>
  </si>
  <si>
    <t>Đề xuất tạo hàm generateNextId() tìm Max ID hiện có thay vì đếm size().</t>
  </si>
  <si>
    <t xml:space="preserve">Critical Thinking: Thuật toán đếm cũ rất rủi ro nếu record bị xóa.
Contextualization: CSV không có DB Auto Increment.
Creative Synthesis: Kéo hàm này lên BaseController để mọi nơi dùng chung.
Decision: Triển khai diện rộng để fix triệt để. </t>
  </si>
  <si>
    <t>- File chứng minh: BaseController.java
- Lỗi cũ: Dùng list.size() + 1
- Code mới: list.stream().mapToInt(Order::getId).max().orElse(0) + 1</t>
  </si>
  <si>
    <t>015</t>
  </si>
  <si>
    <t>(T8) Xây dựng Công cụ giả lập (Simulator) để so sánh 4 Lock.</t>
  </si>
  <si>
    <t>"Đề xuất hướng đi cho Tuần 8."</t>
  </si>
  <si>
    <t>Đề xuất tạo SimulatorController sử dụng ExecutorService và CountDownLatch.</t>
  </si>
  <si>
    <t>Critical Thinking: CountDownLatch giả lập hiệu ứng "nghẽn cổ chai" cực chuẩn.
Contextualization: Framework cấm xử lý ở View.
Creative Synthesis: Yêu cầu in thêm bảng so sánh ASCII trực tiếp ra màn hình.
Decision: Đồng ý tạm thời bản thiết kế T8. Tuy nhiên đang cân nhắc xem có bản thiết kế tối ưu hơn không.</t>
  </si>
  <si>
    <t>- File chứng minh: docs/T8_Simulator_Plan.md
- Code ý tưởng: latch.await() (Đứng chờ 100 thread sẵn sàng rồi chạy đồng loạt).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</si>
  <si>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</si>
  <si>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</si>
  <si>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</si>
  <si>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</si>
  <si>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</si>
  <si>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</si>
  <si>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</si>
  <si>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</si>
  <si>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</si>
  <si>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</si>
  <si>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</si>
  <si>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</si>
  <si>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</si>
  <si>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</si>
  <si>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</si>
  <si>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</si>
  <si>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</si>
  <si>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</si>
  <si>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</si>
  <si>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</si>
  <si>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</si>
  <si>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</si>
  <si>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</si>
  <si>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</si>
  <si>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</si>
  <si>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</si>
  <si>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</si>
  <si>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Oversimplification</t>
  </si>
  <si>
    <t>AI bảo: FileChannel.lock() bị lỗi IOException chỉ là vấn đề hệ điều hành, cứ try-catch bỏ qua.</t>
  </si>
  <si>
    <t>Trên Windows, việc mở Stream lúc đang lock sẽ làm crash app không thể chạy tiếp.</t>
  </si>
  <si>
    <t>Tự tay test trên Windows. App văng exception liên tục.</t>
  </si>
  <si>
    <t>Viết lại lõi I/O: dùng ByteBuffer ghi thẳng xuống đĩa, nghiêm cấm nuốt lỗi (catch ignore).</t>
  </si>
  <si>
    <t>Context Misunderstanding</t>
  </si>
  <si>
    <t>AI khẳng định chỉ cần bọc synchronized vào hàm xử lý là chống được Race Condition.</t>
  </si>
  <si>
    <t>synchronized vô hiệu lực khi mở 2 Terminal (2 JVM). File CSV vẫn rác dữ liệu.</t>
  </si>
  <si>
    <t>Chạy thử nghiệm 2 Terminal mua 1 món. Tồn kho vẫn bị âm.</t>
  </si>
  <si>
    <t>Ép AI đọc docs java.nio và triển khai OS-level Lock.</t>
  </si>
  <si>
    <t>AI khuyên dùng ArrayList để chứa 100.000 Object trên RAM cho lẹ.</t>
  </si>
  <si>
    <t>Văng OutOfMemoryError trên máy lab có RAM 4GB.</t>
  </si>
  <si>
    <t>Ước lượng Heap Size của JVM và Black-box testing.</t>
  </si>
  <si>
    <t>Đổi thuật toán sang Stream: sinh -&gt; ghi -&gt; GC giải phóng.</t>
  </si>
  <si>
    <t>AI bảo cứ dùng scanner.nextInt() rồi try-catch bắt lỗi nhập chữ là xong.</t>
  </si>
  <si>
    <t>nextInt() ném lỗi nhưng không bỏ ký tự xuống dòng, gây vòng lặp vô tận (infinite loop).</t>
  </si>
  <si>
    <t>Black-box testing menu: cố tình nhập chữ 'a'.</t>
  </si>
  <si>
    <t>Ép dùng scanner.nextLine() rồi Integer.parseInt().</t>
  </si>
  <si>
    <t>Logic Error</t>
  </si>
  <si>
    <t>AI dùng Regex ,(?=(?:[^\"]*\"[^\"]*\")*[^\"]*$) để cắt chuỗi CSV.</t>
  </si>
  <si>
    <t>Regex sinh chi phí overhead cực cao, có nguy cơ StackOverflow với file lớn.</t>
  </si>
  <si>
    <t>Stress test thuật toán đọc file lớn. Tốc độ đọc rất chậm.</t>
  </si>
  <si>
    <t>Phủ quyết AI, tự build State Machine duyệt từng ký tự char.</t>
  </si>
  <si>
    <t>Outdated Info</t>
  </si>
  <si>
    <t>AI đề xuất dùng SimpleDateFormat để xử lý ngày giờ.</t>
  </si>
  <si>
    <t>SimpleDateFormat cũ kĩ và không Thread-safe, rất nguy hiểm cho bài toán đa luồng.</t>
  </si>
  <si>
    <t>Review code tĩnh và soi chuẩn thư viện Java 8+.</t>
  </si>
  <si>
    <t>Yêu cầu viết lại bằng thư viện mới java.time.LocalDateTime.</t>
  </si>
  <si>
    <t>AI viết lệnh System.out.println trực tiếp trong Controller.</t>
  </si>
  <si>
    <t>Vi phạm kiến trúc MVC khắt khe của dự án.</t>
  </si>
  <si>
    <t>Cross-check ranh giới View và Controller.</t>
  </si>
  <si>
    <t>Trả về object ControllerResult để đẩy ra View.</t>
  </si>
  <si>
    <t>AI lưu User đang Login vào biến public static Customer.</t>
  </si>
  <si>
    <t>Vi phạm SRP. Static state chết người nếu dự án mở rộng Web.</t>
  </si>
  <si>
    <t>Review code theo chuẩn Clean Code.</t>
  </si>
  <si>
    <t>Tạo lớp AuthenticationState kiểu Singleton.</t>
  </si>
  <si>
    <t>AI gộp chung tính năng duyệt TK mới VÀ mở khóa TK bị ban thành 1 hàm.</t>
  </si>
  <si>
    <t>Nguy cơ Admin vô tình "Mở khóa" cho user bị cấm vĩnh viễn.</t>
  </si>
  <si>
    <t>Vẽ User Flow và đặt câu hỏi vặn vẹo lại AI.</t>
  </si>
  <si>
    <t>Tách riêng hàm unbanCustomer, chặn điều kiện khắt khe.</t>
  </si>
  <si>
    <t>Fabrication</t>
  </si>
  <si>
    <t>AI khẳng định Java có sẵn hàm OrderRepository.isTransactionSafe() để kiểm tra khóa CSV.</t>
  </si>
  <si>
    <t>AI tự tạo ra API không tồn tại (Fake APIs). Java không hề có hàm này.</t>
  </si>
  <si>
    <t>IDE báo đỏ gạch chân phương thức không tồn tại, search Google không ra.</t>
  </si>
  <si>
    <t>Phủ quyết AI, xóa dòng code ảo tưởng đó, tự dùng FileChannel.lock để bảo vệ.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</si>
  <si>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</si>
  <si>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</si>
  <si>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</si>
  <si>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</si>
  <si>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</si>
  <si>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</si>
  <si>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AI bỏ qua edge cases, exceptions</t>
  </si>
  <si>
    <t>Code không handle array rỗng</t>
  </si>
  <si>
    <t>AI đưa kết luận sai về 'best practice'</t>
  </si>
  <si>
    <t>'XGBoost always best' → Sai</t>
  </si>
  <si>
    <t>AI dùng thông tin cũ, không còn đúng</t>
  </si>
  <si>
    <t>Old API syntax, deprecated methods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</si>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</sst>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%"/>
  </numFmts>
  <fonts count="33">
    <font>
      <sz val="11"/>
      <color theme="1"/>
      <name val="Calibri"/>
      <charset val="134"/>
      <scheme val="minor"/>
    </font>
    <font>
      <b/>
      <sz val="16"/>
      <color rgb="FF2E75B6"/>
      <name val="Calibri"/>
      <charset val="134"/>
      <scheme val="minor"/>
    </font>
    <font>
      <i/>
      <sz val="10"/>
      <color rgb="FF666666"/>
      <name val="Calibri"/>
      <charset val="134"/>
      <scheme val="minor"/>
    </font>
    <font>
      <b/>
      <sz val="14"/>
      <color rgb="FF2E75B6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sz val="10"/>
      <name val="Calibri"/>
      <charset val="134"/>
      <scheme val="minor"/>
    </font>
    <font>
      <b/>
      <sz val="12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i/>
      <sz val="10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6"/>
      <color rgb="FFFF0000"/>
      <name val="Calibri"/>
      <charset val="134"/>
      <scheme val="minor"/>
    </font>
    <font>
      <b/>
      <i/>
      <sz val="10"/>
      <color rgb="FFFF0000"/>
      <name val="Calibri"/>
      <charset val="134"/>
      <scheme val="minor"/>
    </font>
    <font>
      <i/>
      <sz val="9"/>
      <color rgb="FF666666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6" borderId="5" applyNumberFormat="0" applyAlignment="0" applyProtection="0">
      <alignment vertical="center"/>
    </xf>
    <xf numFmtId="0" fontId="23" fillId="7" borderId="6" applyNumberFormat="0" applyAlignment="0" applyProtection="0">
      <alignment vertical="center"/>
    </xf>
    <xf numFmtId="0" fontId="24" fillId="7" borderId="5" applyNumberFormat="0" applyAlignment="0" applyProtection="0">
      <alignment vertical="center"/>
    </xf>
    <xf numFmtId="0" fontId="25" fillId="8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</cellStyleXfs>
  <cellXfs count="40">
    <xf numFmtId="0" fontId="0" fillId="0" borderId="0" xfId="0"/>
    <xf numFmtId="0" fontId="0" fillId="0" borderId="0" xfId="0" applyFont="1" applyFill="1" applyAlignment="1"/>
    <xf numFmtId="0" fontId="1" fillId="0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3" fillId="0" borderId="0" xfId="0" applyFont="1" applyFill="1" applyAlignment="1"/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top" wrapText="1"/>
    </xf>
    <xf numFmtId="0" fontId="5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left" vertical="top" wrapText="1"/>
    </xf>
    <xf numFmtId="0" fontId="6" fillId="0" borderId="0" xfId="0" applyFont="1" applyFill="1" applyAlignment="1"/>
    <xf numFmtId="0" fontId="7" fillId="0" borderId="0" xfId="0" applyFont="1" applyFill="1" applyAlignment="1"/>
    <xf numFmtId="0" fontId="8" fillId="0" borderId="0" xfId="0" applyFont="1" applyFill="1" applyAlignment="1"/>
    <xf numFmtId="0" fontId="9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left" vertical="top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left" vertical="top" wrapText="1"/>
    </xf>
    <xf numFmtId="0" fontId="10" fillId="0" borderId="0" xfId="0" applyFont="1" applyFill="1" applyAlignment="1"/>
    <xf numFmtId="0" fontId="11" fillId="0" borderId="0" xfId="0" applyFont="1" applyFill="1" applyAlignment="1">
      <alignment horizontal="center" vertical="center" wrapText="1"/>
    </xf>
    <xf numFmtId="0" fontId="12" fillId="0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left" vertical="top" wrapText="1"/>
    </xf>
    <xf numFmtId="0" fontId="10" fillId="0" borderId="0" xfId="0" applyFont="1" applyFill="1" applyAlignment="1">
      <alignment horizontal="left" vertical="top"/>
    </xf>
    <xf numFmtId="0" fontId="3" fillId="0" borderId="0" xfId="0" applyFont="1" applyFill="1" applyAlignment="1"/>
    <xf numFmtId="0" fontId="9" fillId="3" borderId="1" xfId="0" applyFont="1" applyFill="1" applyBorder="1" applyAlignment="1">
      <alignment horizontal="left" vertical="top" wrapText="1"/>
    </xf>
    <xf numFmtId="0" fontId="0" fillId="0" borderId="0" xfId="0" applyFont="1" applyFill="1" applyAlignment="1">
      <alignment wrapText="1"/>
    </xf>
    <xf numFmtId="0" fontId="1" fillId="0" borderId="0" xfId="0" applyFont="1" applyFill="1" applyAlignment="1">
      <alignment horizontal="center" vertical="top" wrapText="1"/>
    </xf>
    <xf numFmtId="0" fontId="10" fillId="0" borderId="0" xfId="0" applyFont="1" applyFill="1" applyAlignment="1">
      <alignment vertical="top" wrapText="1"/>
    </xf>
    <xf numFmtId="0" fontId="2" fillId="0" borderId="0" xfId="0" applyFont="1" applyFill="1" applyAlignment="1">
      <alignment horizontal="left" vertical="top" wrapText="1"/>
    </xf>
    <xf numFmtId="0" fontId="4" fillId="2" borderId="1" xfId="0" applyFont="1" applyFill="1" applyBorder="1" applyAlignment="1">
      <alignment horizontal="center" vertical="top" wrapText="1"/>
    </xf>
    <xf numFmtId="0" fontId="0" fillId="0" borderId="0" xfId="0" applyFont="1" applyFill="1" applyAlignment="1">
      <alignment vertical="top" wrapText="1"/>
    </xf>
    <xf numFmtId="0" fontId="0" fillId="0" borderId="0" xfId="0" applyFont="1" applyFill="1" applyAlignment="1">
      <alignment horizontal="left" vertical="top" wrapText="1"/>
    </xf>
    <xf numFmtId="0" fontId="1" fillId="0" borderId="0" xfId="0" applyFont="1" applyFill="1" applyAlignment="1">
      <alignment horizontal="center" vertical="top" wrapText="1"/>
    </xf>
    <xf numFmtId="0" fontId="0" fillId="0" borderId="0" xfId="0" applyFont="1" applyFill="1" applyAlignment="1">
      <alignment horizontal="center" vertical="top"/>
    </xf>
    <xf numFmtId="0" fontId="9" fillId="0" borderId="0" xfId="0" applyFont="1" applyFill="1" applyAlignment="1"/>
    <xf numFmtId="0" fontId="0" fillId="0" borderId="0" xfId="0" applyFont="1" applyFill="1" applyAlignment="1">
      <alignment horizontal="right" vertical="top"/>
    </xf>
    <xf numFmtId="0" fontId="0" fillId="0" borderId="0" xfId="0" applyFont="1" applyFill="1" applyAlignment="1">
      <alignment horizontal="left"/>
    </xf>
    <xf numFmtId="0" fontId="0" fillId="4" borderId="0" xfId="0" applyFont="1" applyFill="1" applyAlignment="1">
      <alignment horizontal="left"/>
    </xf>
    <xf numFmtId="178" fontId="0" fillId="0" borderId="0" xfId="0" applyNumberFormat="1" applyFont="1" applyFill="1" applyAlignment="1">
      <alignment horizontal="left"/>
    </xf>
    <xf numFmtId="0" fontId="13" fillId="0" borderId="0" xfId="0" applyFont="1" applyFill="1" applyAlignment="1"/>
    <xf numFmtId="0" fontId="0" fillId="4" borderId="1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 quotePrefix="1">
      <alignment horizontal="left" vertical="top" wrapText="1"/>
    </xf>
    <xf numFmtId="0" fontId="0" fillId="0" borderId="0" xfId="0" applyFont="1" applyFill="1" applyAlignment="1" quotePrefix="1">
      <alignment vertical="top" wrapText="1"/>
    </xf>
    <xf numFmtId="0" fontId="0" fillId="0" borderId="0" xfId="0" applyFont="1" applyFill="1" applyAlignment="1" quotePrefix="1">
      <alignment horizontal="left"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7"/>
  <sheetViews>
    <sheetView tabSelected="1" workbookViewId="0">
      <selection activeCell="D4" sqref="D4"/>
    </sheetView>
  </sheetViews>
  <sheetFormatPr defaultColWidth="9" defaultRowHeight="15" outlineLevelCol="5"/>
  <cols>
    <col min="1" max="1" width="25" style="1" customWidth="1"/>
    <col min="2" max="2" width="51.8571428571429" style="1" customWidth="1"/>
    <col min="3" max="3" width="15" style="1" customWidth="1"/>
    <col min="4" max="4" width="49.8571428571429" style="1" customWidth="1"/>
    <col min="5" max="6" width="20" style="1" customWidth="1"/>
    <col min="7" max="16384" width="9" style="1"/>
  </cols>
  <sheetData>
    <row r="1" s="1" customFormat="1" ht="21" spans="1:6">
      <c r="A1" s="31" t="s">
        <v>0</v>
      </c>
      <c r="B1" s="32"/>
      <c r="C1" s="32"/>
      <c r="D1" s="32"/>
      <c r="E1" s="32"/>
      <c r="F1" s="32"/>
    </row>
    <row r="3" s="1" customFormat="1" ht="18.75" spans="1:6">
      <c r="A3" s="4" t="s">
        <v>1</v>
      </c>
    </row>
    <row r="4" s="1" customFormat="1" spans="1:6">
      <c r="A4" s="33" t="s">
        <v>2</v>
      </c>
      <c r="C4" s="1" t="s">
        <v>3</v>
      </c>
    </row>
    <row r="5" s="1" customFormat="1" spans="1:6">
      <c r="A5" s="33" t="s">
        <v>4</v>
      </c>
      <c r="C5" s="1" t="s">
        <v>5</v>
      </c>
    </row>
    <row r="6" s="1" customFormat="1" spans="1:6">
      <c r="A6" s="33" t="s">
        <v>6</v>
      </c>
      <c r="C6" s="1" t="s">
        <v>7</v>
      </c>
    </row>
    <row r="7" s="1" customFormat="1" spans="1:6">
      <c r="A7" s="33" t="s">
        <v>8</v>
      </c>
      <c r="C7" s="1" t="s">
        <v>9</v>
      </c>
    </row>
    <row r="9" s="1" customFormat="1" ht="18.75" spans="1:6">
      <c r="A9" s="4" t="s">
        <v>10</v>
      </c>
    </row>
    <row r="10" s="1" customFormat="1" spans="1:6">
      <c r="A10" s="33" t="s">
        <v>11</v>
      </c>
      <c r="B10" s="34" t="s">
        <v>12</v>
      </c>
      <c r="C10" s="35">
        <v>120</v>
      </c>
    </row>
    <row r="11" s="1" customFormat="1" spans="1:6">
      <c r="A11" s="33" t="s">
        <v>13</v>
      </c>
      <c r="C11" s="36">
        <v>15</v>
      </c>
    </row>
    <row r="12" s="1" customFormat="1" spans="1:6">
      <c r="A12" s="33" t="s">
        <v>14</v>
      </c>
      <c r="C12" s="37">
        <f>C11/C10</f>
        <v>0.125</v>
      </c>
      <c r="E12" s="38"/>
    </row>
    <row r="13" s="1" customFormat="1" spans="1:6">
      <c r="A13" s="33" t="s">
        <v>15</v>
      </c>
      <c r="C13" s="36">
        <v>10</v>
      </c>
    </row>
    <row r="15" s="1" customFormat="1" ht="18.75" spans="1:6">
      <c r="A15" s="4" t="s">
        <v>16</v>
      </c>
    </row>
    <row r="16" s="1" customFormat="1" spans="1:6">
      <c r="A16" s="5" t="s">
        <v>17</v>
      </c>
      <c r="B16" s="5" t="s">
        <v>18</v>
      </c>
      <c r="C16" s="5" t="s">
        <v>19</v>
      </c>
      <c r="D16" s="5" t="s">
        <v>20</v>
      </c>
    </row>
    <row r="17" s="1" customFormat="1" spans="1:4">
      <c r="A17" s="1" t="s">
        <v>21</v>
      </c>
      <c r="B17" s="1" t="s">
        <v>22</v>
      </c>
      <c r="C17" s="1" t="s">
        <v>23</v>
      </c>
      <c r="D17" s="1" t="s">
        <v>24</v>
      </c>
    </row>
    <row r="18" s="1" customFormat="1" spans="1:4">
      <c r="A18" s="1" t="s">
        <v>25</v>
      </c>
      <c r="B18" s="1" t="s">
        <v>26</v>
      </c>
      <c r="C18" s="1" t="s">
        <v>27</v>
      </c>
      <c r="D18" s="1" t="s">
        <v>28</v>
      </c>
    </row>
    <row r="19" s="1" customFormat="1" spans="1:4">
      <c r="A19" s="1" t="s">
        <v>29</v>
      </c>
      <c r="B19" s="1" t="s">
        <v>30</v>
      </c>
      <c r="C19" s="1" t="s">
        <v>31</v>
      </c>
      <c r="D19" s="1" t="s">
        <v>32</v>
      </c>
    </row>
    <row r="20" s="1" customFormat="1" spans="1:4">
      <c r="A20" s="15" t="s">
        <v>33</v>
      </c>
      <c r="B20" s="15" t="s">
        <v>34</v>
      </c>
      <c r="C20" s="15" t="s">
        <v>34</v>
      </c>
      <c r="D20" s="15" t="s">
        <v>34</v>
      </c>
    </row>
    <row r="22" s="1" customFormat="1" ht="18.75" spans="1:4">
      <c r="A22" s="4" t="s">
        <v>35</v>
      </c>
    </row>
    <row r="23" s="1" customFormat="1" spans="1:4">
      <c r="A23" s="5" t="s">
        <v>36</v>
      </c>
      <c r="B23" s="5" t="s">
        <v>37</v>
      </c>
      <c r="C23" s="5" t="s">
        <v>38</v>
      </c>
    </row>
    <row r="24" s="1" customFormat="1" spans="1:4">
      <c r="A24" s="15" t="s">
        <v>39</v>
      </c>
      <c r="B24" s="39">
        <v>2</v>
      </c>
      <c r="C24" s="14" t="s">
        <v>40</v>
      </c>
    </row>
    <row r="25" s="1" customFormat="1" spans="1:4">
      <c r="A25" s="15" t="s">
        <v>41</v>
      </c>
      <c r="B25" s="39">
        <v>3</v>
      </c>
      <c r="C25" s="14" t="s">
        <v>40</v>
      </c>
    </row>
    <row r="26" s="1" customFormat="1" spans="1:4">
      <c r="A26" s="15" t="s">
        <v>42</v>
      </c>
      <c r="B26" s="39">
        <v>3</v>
      </c>
      <c r="C26" s="14" t="s">
        <v>40</v>
      </c>
    </row>
    <row r="27" s="1" customFormat="1" spans="1:4">
      <c r="A27" s="15" t="s">
        <v>43</v>
      </c>
      <c r="B27" s="39">
        <v>7</v>
      </c>
      <c r="C27" s="14" t="s">
        <v>40</v>
      </c>
    </row>
  </sheetData>
  <mergeCells count="1">
    <mergeCell ref="A1:F1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"/>
  <sheetViews>
    <sheetView workbookViewId="0">
      <selection activeCell="K11" sqref="K11"/>
    </sheetView>
  </sheetViews>
  <sheetFormatPr defaultColWidth="10.7142857142857" defaultRowHeight="27" customHeight="1" outlineLevelCol="7"/>
  <cols>
    <col min="1" max="1" width="10.7142857142857" style="24" customWidth="1"/>
    <col min="2" max="2" width="21.5714285714286" style="24" customWidth="1"/>
    <col min="3" max="3" width="21.4285714285714" style="24" customWidth="1"/>
    <col min="4" max="4" width="21.8571428571429" style="24" customWidth="1"/>
    <col min="5" max="5" width="21.1428571428571" style="24" customWidth="1"/>
    <col min="6" max="6" width="32.2857142857143" style="24" customWidth="1"/>
    <col min="7" max="7" width="32.1428571428571" style="24" customWidth="1"/>
    <col min="8" max="8" width="32.2857142857143" style="24" customWidth="1"/>
    <col min="9" max="16384" width="10.7142857142857" style="24" customWidth="1"/>
  </cols>
  <sheetData>
    <row r="1" s="24" customFormat="1" customHeight="1" spans="1:8">
      <c r="A1" s="25" t="s">
        <v>44</v>
      </c>
      <c r="B1" s="26"/>
      <c r="C1" s="26"/>
      <c r="D1" s="26"/>
      <c r="E1" s="26"/>
      <c r="F1" s="26"/>
      <c r="G1" s="26"/>
      <c r="H1" s="26"/>
    </row>
    <row r="2" s="24" customFormat="1" customHeight="1" spans="1:8">
      <c r="A2" s="27" t="s">
        <v>45</v>
      </c>
      <c r="B2" s="26"/>
      <c r="C2" s="26"/>
      <c r="D2" s="26"/>
      <c r="E2" s="26"/>
      <c r="F2" s="26"/>
      <c r="G2" s="26"/>
      <c r="H2" s="26"/>
    </row>
    <row r="3" s="24" customFormat="1" customHeight="1" spans="1:8">
      <c r="A3" s="28" t="s">
        <v>46</v>
      </c>
      <c r="B3" s="28" t="s">
        <v>47</v>
      </c>
      <c r="C3" s="28" t="s">
        <v>48</v>
      </c>
      <c r="D3" s="28" t="s">
        <v>49</v>
      </c>
      <c r="E3" s="28" t="s">
        <v>50</v>
      </c>
      <c r="F3" s="28" t="s">
        <v>51</v>
      </c>
      <c r="G3" s="28" t="s">
        <v>52</v>
      </c>
      <c r="H3" s="28" t="s">
        <v>53</v>
      </c>
    </row>
    <row r="4" s="24" customFormat="1" ht="120" spans="1:8">
      <c r="A4" s="40" t="s">
        <v>54</v>
      </c>
      <c r="B4" s="20" t="s">
        <v>55</v>
      </c>
      <c r="C4" s="20" t="s">
        <v>39</v>
      </c>
      <c r="D4" s="20" t="s">
        <v>56</v>
      </c>
      <c r="E4" s="20" t="s">
        <v>57</v>
      </c>
      <c r="F4" s="20" t="s">
        <v>58</v>
      </c>
      <c r="G4" s="20" t="s">
        <v>59</v>
      </c>
      <c r="H4" s="20" t="s">
        <v>60</v>
      </c>
    </row>
    <row r="5" s="24" customFormat="1" ht="135" spans="1:8">
      <c r="A5" s="40" t="s">
        <v>61</v>
      </c>
      <c r="B5" s="20" t="s">
        <v>55</v>
      </c>
      <c r="C5" s="20" t="s">
        <v>42</v>
      </c>
      <c r="D5" s="20" t="s">
        <v>62</v>
      </c>
      <c r="E5" s="20" t="s">
        <v>63</v>
      </c>
      <c r="F5" s="20" t="s">
        <v>64</v>
      </c>
      <c r="G5" s="20" t="s">
        <v>65</v>
      </c>
      <c r="H5" s="20" t="s">
        <v>66</v>
      </c>
    </row>
    <row r="6" s="24" customFormat="1" ht="150" spans="1:8">
      <c r="A6" s="40" t="s">
        <v>67</v>
      </c>
      <c r="B6" s="20" t="s">
        <v>55</v>
      </c>
      <c r="C6" s="20" t="s">
        <v>43</v>
      </c>
      <c r="D6" s="20" t="s">
        <v>68</v>
      </c>
      <c r="E6" s="20" t="s">
        <v>69</v>
      </c>
      <c r="F6" s="20" t="s">
        <v>70</v>
      </c>
      <c r="G6" s="20" t="s">
        <v>71</v>
      </c>
      <c r="H6" s="40" t="s">
        <v>72</v>
      </c>
    </row>
    <row r="7" s="24" customFormat="1" ht="150" spans="1:8">
      <c r="A7" s="40" t="s">
        <v>73</v>
      </c>
      <c r="B7" s="15" t="s">
        <v>55</v>
      </c>
      <c r="C7" s="15" t="s">
        <v>43</v>
      </c>
      <c r="D7" s="15" t="s">
        <v>74</v>
      </c>
      <c r="E7" s="15" t="s">
        <v>75</v>
      </c>
      <c r="F7" s="15" t="s">
        <v>76</v>
      </c>
      <c r="G7" s="29" t="s">
        <v>77</v>
      </c>
      <c r="H7" s="41" t="s">
        <v>78</v>
      </c>
    </row>
    <row r="8" s="24" customFormat="1" ht="135" spans="1:8">
      <c r="A8" s="40" t="s">
        <v>79</v>
      </c>
      <c r="B8" s="15" t="s">
        <v>80</v>
      </c>
      <c r="C8" s="15" t="s">
        <v>41</v>
      </c>
      <c r="D8" s="15" t="s">
        <v>81</v>
      </c>
      <c r="E8" s="15" t="s">
        <v>82</v>
      </c>
      <c r="F8" s="15" t="s">
        <v>83</v>
      </c>
      <c r="G8" s="29" t="s">
        <v>84</v>
      </c>
      <c r="H8" s="41" t="s">
        <v>85</v>
      </c>
    </row>
    <row r="9" s="24" customFormat="1" ht="135" spans="1:8">
      <c r="A9" s="40" t="s">
        <v>86</v>
      </c>
      <c r="B9" s="15" t="s">
        <v>55</v>
      </c>
      <c r="C9" s="15" t="s">
        <v>42</v>
      </c>
      <c r="D9" s="15" t="s">
        <v>87</v>
      </c>
      <c r="E9" s="15" t="s">
        <v>88</v>
      </c>
      <c r="F9" s="15" t="s">
        <v>89</v>
      </c>
      <c r="G9" s="29" t="s">
        <v>90</v>
      </c>
      <c r="H9" s="41" t="s">
        <v>91</v>
      </c>
    </row>
    <row r="10" s="24" customFormat="1" ht="150" spans="1:8">
      <c r="A10" s="40" t="s">
        <v>92</v>
      </c>
      <c r="B10" s="15" t="s">
        <v>55</v>
      </c>
      <c r="C10" s="15" t="s">
        <v>43</v>
      </c>
      <c r="D10" s="15" t="s">
        <v>93</v>
      </c>
      <c r="E10" s="15" t="s">
        <v>94</v>
      </c>
      <c r="F10" s="15" t="s">
        <v>95</v>
      </c>
      <c r="G10" s="29" t="s">
        <v>96</v>
      </c>
      <c r="H10" s="41" t="s">
        <v>97</v>
      </c>
    </row>
    <row r="11" s="24" customFormat="1" ht="150" spans="1:8">
      <c r="A11" s="40" t="s">
        <v>98</v>
      </c>
      <c r="B11" s="15" t="s">
        <v>80</v>
      </c>
      <c r="C11" s="15" t="s">
        <v>39</v>
      </c>
      <c r="D11" s="15" t="s">
        <v>99</v>
      </c>
      <c r="E11" s="15" t="s">
        <v>100</v>
      </c>
      <c r="F11" s="15" t="s">
        <v>101</v>
      </c>
      <c r="G11" s="29" t="s">
        <v>102</v>
      </c>
      <c r="H11" s="41" t="s">
        <v>103</v>
      </c>
    </row>
    <row r="12" s="24" customFormat="1" ht="135" spans="1:8">
      <c r="A12" s="40" t="s">
        <v>104</v>
      </c>
      <c r="B12" s="15" t="s">
        <v>55</v>
      </c>
      <c r="C12" s="15" t="s">
        <v>43</v>
      </c>
      <c r="D12" s="15" t="s">
        <v>105</v>
      </c>
      <c r="E12" s="15" t="s">
        <v>106</v>
      </c>
      <c r="F12" s="15" t="s">
        <v>107</v>
      </c>
      <c r="G12" s="29" t="s">
        <v>108</v>
      </c>
      <c r="H12" s="41" t="s">
        <v>109</v>
      </c>
    </row>
    <row r="13" s="24" customFormat="1" ht="120" spans="1:8">
      <c r="A13" s="40" t="s">
        <v>110</v>
      </c>
      <c r="B13" s="15" t="s">
        <v>80</v>
      </c>
      <c r="C13" s="15" t="s">
        <v>41</v>
      </c>
      <c r="D13" s="15" t="s">
        <v>111</v>
      </c>
      <c r="E13" s="15" t="s">
        <v>112</v>
      </c>
      <c r="F13" s="15" t="s">
        <v>113</v>
      </c>
      <c r="G13" s="29" t="s">
        <v>114</v>
      </c>
      <c r="H13" s="29" t="s">
        <v>115</v>
      </c>
    </row>
    <row r="14" s="24" customFormat="1" ht="150" spans="1:8">
      <c r="A14" s="40" t="s">
        <v>116</v>
      </c>
      <c r="B14" s="15" t="s">
        <v>55</v>
      </c>
      <c r="C14" s="15" t="s">
        <v>43</v>
      </c>
      <c r="D14" s="15" t="s">
        <v>117</v>
      </c>
      <c r="E14" s="15" t="s">
        <v>118</v>
      </c>
      <c r="F14" s="15" t="s">
        <v>119</v>
      </c>
      <c r="G14" s="29" t="s">
        <v>120</v>
      </c>
      <c r="H14" s="41" t="s">
        <v>121</v>
      </c>
    </row>
    <row r="15" s="24" customFormat="1" ht="150" spans="1:8">
      <c r="A15" s="40" t="s">
        <v>122</v>
      </c>
      <c r="B15" s="15" t="s">
        <v>55</v>
      </c>
      <c r="C15" s="15" t="s">
        <v>43</v>
      </c>
      <c r="D15" s="15" t="s">
        <v>123</v>
      </c>
      <c r="E15" s="15" t="s">
        <v>124</v>
      </c>
      <c r="F15" s="15" t="s">
        <v>125</v>
      </c>
      <c r="G15" s="29" t="s">
        <v>126</v>
      </c>
      <c r="H15" s="42" t="s">
        <v>127</v>
      </c>
    </row>
    <row r="16" s="24" customFormat="1" ht="120" spans="1:8">
      <c r="A16" s="40" t="s">
        <v>128</v>
      </c>
      <c r="B16" s="15" t="s">
        <v>55</v>
      </c>
      <c r="C16" s="15" t="s">
        <v>41</v>
      </c>
      <c r="D16" s="15" t="s">
        <v>129</v>
      </c>
      <c r="E16" s="15" t="s">
        <v>130</v>
      </c>
      <c r="F16" s="15" t="s">
        <v>131</v>
      </c>
      <c r="G16" s="29" t="s">
        <v>132</v>
      </c>
      <c r="H16" s="41" t="s">
        <v>133</v>
      </c>
    </row>
    <row r="17" s="24" customFormat="1" ht="135" spans="1:8">
      <c r="A17" s="40" t="s">
        <v>134</v>
      </c>
      <c r="B17" s="15" t="s">
        <v>55</v>
      </c>
      <c r="C17" s="15" t="s">
        <v>42</v>
      </c>
      <c r="D17" s="15" t="s">
        <v>135</v>
      </c>
      <c r="E17" s="15" t="s">
        <v>136</v>
      </c>
      <c r="F17" s="15" t="s">
        <v>137</v>
      </c>
      <c r="G17" s="29" t="s">
        <v>138</v>
      </c>
      <c r="H17" s="41" t="s">
        <v>139</v>
      </c>
    </row>
    <row r="18" s="24" customFormat="1" ht="165" spans="1:8">
      <c r="A18" s="40" t="s">
        <v>140</v>
      </c>
      <c r="B18" s="15" t="s">
        <v>80</v>
      </c>
      <c r="C18" s="15" t="s">
        <v>43</v>
      </c>
      <c r="D18" s="15" t="s">
        <v>141</v>
      </c>
      <c r="E18" s="15" t="s">
        <v>142</v>
      </c>
      <c r="F18" s="15" t="s">
        <v>143</v>
      </c>
      <c r="G18" s="29" t="s">
        <v>144</v>
      </c>
      <c r="H18" s="41" t="s">
        <v>145</v>
      </c>
    </row>
    <row r="19" s="24" customFormat="1" customHeight="1" spans="1:8">
      <c r="A19" s="40" t="s">
        <v>146</v>
      </c>
      <c r="B19" s="15"/>
      <c r="C19" s="15"/>
      <c r="D19" s="15"/>
      <c r="E19" s="15"/>
      <c r="F19" s="15"/>
      <c r="G19" s="29"/>
      <c r="H19" s="29"/>
    </row>
    <row r="20" s="24" customFormat="1" customHeight="1" spans="1:8">
      <c r="A20" s="40" t="s">
        <v>147</v>
      </c>
      <c r="B20" s="15"/>
      <c r="C20" s="15"/>
      <c r="D20" s="15"/>
      <c r="E20" s="15"/>
      <c r="F20" s="15"/>
      <c r="G20" s="29"/>
      <c r="H20" s="29"/>
    </row>
    <row r="21" s="24" customFormat="1" customHeight="1" spans="1:8">
      <c r="A21" s="40" t="s">
        <v>148</v>
      </c>
      <c r="B21" s="15"/>
      <c r="C21" s="15"/>
      <c r="D21" s="15"/>
      <c r="E21" s="15"/>
      <c r="F21" s="15"/>
      <c r="G21" s="29"/>
      <c r="H21" s="29"/>
    </row>
    <row r="22" s="24" customFormat="1" customHeight="1" spans="1:8">
      <c r="A22" s="40" t="s">
        <v>149</v>
      </c>
      <c r="B22" s="15"/>
      <c r="C22" s="15"/>
      <c r="D22" s="15"/>
      <c r="E22" s="15"/>
      <c r="F22" s="15"/>
      <c r="G22" s="29"/>
      <c r="H22" s="29"/>
    </row>
    <row r="23" s="24" customFormat="1" customHeight="1" spans="1:8">
      <c r="A23" s="40" t="s">
        <v>150</v>
      </c>
      <c r="B23" s="15"/>
      <c r="C23" s="15"/>
      <c r="D23" s="15"/>
      <c r="E23" s="15"/>
      <c r="F23" s="15"/>
      <c r="G23" s="29"/>
      <c r="H23" s="29"/>
    </row>
    <row r="24" s="24" customFormat="1" customHeight="1" spans="1:8">
      <c r="A24" s="40" t="s">
        <v>151</v>
      </c>
      <c r="B24" s="15"/>
      <c r="C24" s="15"/>
      <c r="D24" s="15"/>
      <c r="E24" s="15"/>
      <c r="F24" s="15"/>
      <c r="G24" s="29"/>
      <c r="H24" s="29"/>
    </row>
    <row r="25" customHeight="1" spans="1:8">
      <c r="A25" s="40" t="s">
        <v>152</v>
      </c>
      <c r="B25" s="29"/>
      <c r="C25" s="29"/>
      <c r="D25" s="29"/>
      <c r="E25" s="29"/>
      <c r="F25" s="29"/>
      <c r="G25" s="29"/>
      <c r="H25" s="29"/>
    </row>
    <row r="26" customHeight="1" spans="1:8">
      <c r="A26" s="40" t="s">
        <v>153</v>
      </c>
      <c r="B26" s="29"/>
      <c r="C26" s="29"/>
      <c r="D26" s="29"/>
      <c r="E26" s="29"/>
      <c r="F26" s="29"/>
      <c r="G26" s="29"/>
      <c r="H26" s="29"/>
    </row>
    <row r="27" customHeight="1" spans="1:8">
      <c r="A27" s="40" t="s">
        <v>154</v>
      </c>
      <c r="B27" s="29"/>
      <c r="C27" s="29"/>
      <c r="D27" s="29"/>
      <c r="E27" s="29"/>
      <c r="F27" s="29"/>
      <c r="G27" s="29"/>
      <c r="H27" s="29"/>
    </row>
    <row r="28" customHeight="1" spans="1:8">
      <c r="A28" s="40" t="s">
        <v>155</v>
      </c>
      <c r="B28" s="29"/>
      <c r="C28" s="29"/>
      <c r="D28" s="29"/>
      <c r="E28" s="29"/>
      <c r="F28" s="29"/>
      <c r="G28" s="29"/>
      <c r="H28" s="29"/>
    </row>
    <row r="29" customHeight="1" spans="1:8">
      <c r="A29" s="40" t="s">
        <v>156</v>
      </c>
      <c r="B29" s="29"/>
      <c r="C29" s="29"/>
      <c r="D29" s="29"/>
      <c r="E29" s="29"/>
      <c r="F29" s="29"/>
      <c r="G29" s="29"/>
      <c r="H29" s="29"/>
    </row>
    <row r="30" s="24" customFormat="1" customHeight="1" spans="1:8">
      <c r="A30" s="40" t="s">
        <v>157</v>
      </c>
      <c r="B30" s="29"/>
      <c r="C30" s="29"/>
      <c r="D30" s="29"/>
      <c r="E30" s="29"/>
      <c r="F30" s="29"/>
      <c r="G30" s="29"/>
      <c r="H30" s="29"/>
    </row>
    <row r="31" s="24" customFormat="1" customHeight="1" spans="1:8">
      <c r="A31" s="40" t="s">
        <v>158</v>
      </c>
      <c r="B31" s="13"/>
      <c r="C31" s="13"/>
      <c r="D31" s="29"/>
      <c r="E31" s="29"/>
      <c r="F31" s="29"/>
      <c r="G31" s="29"/>
      <c r="H31" s="29"/>
    </row>
    <row r="32" s="24" customFormat="1" customHeight="1" spans="1:8">
      <c r="A32" s="40" t="s">
        <v>159</v>
      </c>
      <c r="B32" s="15"/>
      <c r="C32" s="15"/>
      <c r="D32" s="29"/>
      <c r="E32" s="29"/>
      <c r="F32" s="29"/>
      <c r="G32" s="29"/>
      <c r="H32" s="29"/>
    </row>
    <row r="33" s="24" customFormat="1" customHeight="1" spans="1:8">
      <c r="A33" s="40" t="s">
        <v>160</v>
      </c>
      <c r="B33" s="15"/>
      <c r="C33" s="15"/>
      <c r="D33" s="29"/>
      <c r="E33" s="29"/>
      <c r="F33" s="29"/>
      <c r="G33" s="29"/>
      <c r="H33" s="29"/>
    </row>
    <row r="34" s="24" customFormat="1" customHeight="1" spans="1:8">
      <c r="A34" s="40" t="s">
        <v>161</v>
      </c>
      <c r="B34" s="15"/>
      <c r="C34" s="15"/>
      <c r="D34" s="29"/>
      <c r="E34" s="29"/>
      <c r="F34" s="29"/>
      <c r="G34" s="29"/>
      <c r="H34" s="29"/>
    </row>
    <row r="35" s="24" customFormat="1" customHeight="1" spans="1:8">
      <c r="A35" s="40" t="s">
        <v>162</v>
      </c>
      <c r="B35" s="15"/>
      <c r="C35" s="15"/>
      <c r="D35" s="29"/>
      <c r="E35" s="29"/>
      <c r="F35" s="29"/>
      <c r="G35" s="29"/>
      <c r="H35" s="29"/>
    </row>
    <row r="36" s="24" customFormat="1" customHeight="1" spans="1:8">
      <c r="A36" s="40" t="s">
        <v>163</v>
      </c>
      <c r="B36" s="15"/>
      <c r="C36" s="15"/>
      <c r="D36" s="29"/>
      <c r="E36" s="29"/>
      <c r="F36" s="29"/>
      <c r="G36" s="29"/>
      <c r="H36" s="29"/>
    </row>
    <row r="37" customHeight="1" spans="1:8">
      <c r="A37" s="40" t="s">
        <v>164</v>
      </c>
      <c r="B37" s="29"/>
      <c r="C37" s="29"/>
      <c r="D37" s="29"/>
      <c r="E37" s="29"/>
      <c r="F37" s="29"/>
      <c r="G37" s="29"/>
      <c r="H37" s="29"/>
    </row>
  </sheetData>
  <mergeCells count="2">
    <mergeCell ref="A1:H1"/>
    <mergeCell ref="A2:H2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6"/>
  <sheetViews>
    <sheetView workbookViewId="0">
      <selection activeCell="D15" sqref="D15"/>
    </sheetView>
  </sheetViews>
  <sheetFormatPr defaultColWidth="9" defaultRowHeight="26" customHeight="1" outlineLevelCol="5"/>
  <cols>
    <col min="1" max="1" width="12" style="16" customWidth="1"/>
    <col min="2" max="2" width="31" style="16" customWidth="1"/>
    <col min="3" max="6" width="30" style="16" customWidth="1"/>
    <col min="7" max="16384" width="9" style="16"/>
  </cols>
  <sheetData>
    <row r="1" s="16" customFormat="1" customHeight="1" spans="1:6">
      <c r="A1" s="17" t="s">
        <v>165</v>
      </c>
    </row>
    <row r="2" s="16" customFormat="1" customHeight="1" spans="1:6">
      <c r="A2" s="18" t="s">
        <v>166</v>
      </c>
    </row>
    <row r="3" s="16" customFormat="1" ht="51" customHeight="1" spans="1:6">
      <c r="A3" s="19" t="s">
        <v>167</v>
      </c>
      <c r="B3" s="19" t="s">
        <v>168</v>
      </c>
      <c r="C3" s="19" t="s">
        <v>169</v>
      </c>
      <c r="D3" s="19" t="s">
        <v>170</v>
      </c>
      <c r="E3" s="19" t="s">
        <v>171</v>
      </c>
      <c r="F3" s="19" t="s">
        <v>172</v>
      </c>
    </row>
    <row r="4" s="16" customFormat="1" ht="45" spans="1:6">
      <c r="A4" s="40" t="s">
        <v>116</v>
      </c>
      <c r="B4" s="20" t="s">
        <v>173</v>
      </c>
      <c r="C4" s="20" t="s">
        <v>174</v>
      </c>
      <c r="D4" s="20" t="s">
        <v>175</v>
      </c>
      <c r="E4" s="20" t="s">
        <v>176</v>
      </c>
      <c r="F4" s="20" t="s">
        <v>177</v>
      </c>
    </row>
    <row r="5" s="16" customFormat="1" ht="45" spans="1:6">
      <c r="A5" s="40" t="s">
        <v>110</v>
      </c>
      <c r="B5" s="20" t="s">
        <v>178</v>
      </c>
      <c r="C5" s="20" t="s">
        <v>179</v>
      </c>
      <c r="D5" s="20" t="s">
        <v>180</v>
      </c>
      <c r="E5" s="20" t="s">
        <v>181</v>
      </c>
      <c r="F5" s="20" t="s">
        <v>182</v>
      </c>
    </row>
    <row r="6" s="16" customFormat="1" ht="30" spans="1:6">
      <c r="A6" s="40" t="s">
        <v>54</v>
      </c>
      <c r="B6" s="20" t="s">
        <v>173</v>
      </c>
      <c r="C6" s="20" t="s">
        <v>183</v>
      </c>
      <c r="D6" s="20" t="s">
        <v>184</v>
      </c>
      <c r="E6" s="20" t="s">
        <v>185</v>
      </c>
      <c r="F6" s="20" t="s">
        <v>186</v>
      </c>
    </row>
    <row r="7" s="16" customFormat="1" ht="45" spans="1:6">
      <c r="A7" s="40" t="s">
        <v>67</v>
      </c>
      <c r="B7" s="20" t="s">
        <v>173</v>
      </c>
      <c r="C7" s="20" t="s">
        <v>187</v>
      </c>
      <c r="D7" s="20" t="s">
        <v>188</v>
      </c>
      <c r="E7" s="20" t="s">
        <v>189</v>
      </c>
      <c r="F7" s="20" t="s">
        <v>190</v>
      </c>
    </row>
    <row r="8" s="16" customFormat="1" ht="45" spans="1:6">
      <c r="A8" s="40" t="s">
        <v>61</v>
      </c>
      <c r="B8" s="20" t="s">
        <v>191</v>
      </c>
      <c r="C8" s="20" t="s">
        <v>192</v>
      </c>
      <c r="D8" s="20" t="s">
        <v>193</v>
      </c>
      <c r="E8" s="20" t="s">
        <v>194</v>
      </c>
      <c r="F8" s="20" t="s">
        <v>195</v>
      </c>
    </row>
    <row r="9" s="16" customFormat="1" ht="45" spans="1:6">
      <c r="A9" s="40" t="s">
        <v>73</v>
      </c>
      <c r="B9" s="20" t="s">
        <v>196</v>
      </c>
      <c r="C9" s="20" t="s">
        <v>197</v>
      </c>
      <c r="D9" s="20" t="s">
        <v>198</v>
      </c>
      <c r="E9" s="20" t="s">
        <v>199</v>
      </c>
      <c r="F9" s="20" t="s">
        <v>200</v>
      </c>
    </row>
    <row r="10" s="16" customFormat="1" ht="30" spans="1:6">
      <c r="A10" s="40" t="s">
        <v>79</v>
      </c>
      <c r="B10" s="20" t="s">
        <v>178</v>
      </c>
      <c r="C10" s="20" t="s">
        <v>201</v>
      </c>
      <c r="D10" s="20" t="s">
        <v>202</v>
      </c>
      <c r="E10" s="20" t="s">
        <v>203</v>
      </c>
      <c r="F10" s="20" t="s">
        <v>204</v>
      </c>
    </row>
    <row r="11" s="16" customFormat="1" ht="30" spans="1:6">
      <c r="A11" s="40" t="s">
        <v>86</v>
      </c>
      <c r="B11" s="20" t="s">
        <v>178</v>
      </c>
      <c r="C11" s="20" t="s">
        <v>205</v>
      </c>
      <c r="D11" s="20" t="s">
        <v>206</v>
      </c>
      <c r="E11" s="20" t="s">
        <v>207</v>
      </c>
      <c r="F11" s="20" t="s">
        <v>208</v>
      </c>
    </row>
    <row r="12" s="16" customFormat="1" ht="45" spans="1:6">
      <c r="A12" s="40" t="s">
        <v>92</v>
      </c>
      <c r="B12" s="20" t="s">
        <v>191</v>
      </c>
      <c r="C12" s="20" t="s">
        <v>209</v>
      </c>
      <c r="D12" s="20" t="s">
        <v>210</v>
      </c>
      <c r="E12" s="20" t="s">
        <v>211</v>
      </c>
      <c r="F12" s="20" t="s">
        <v>212</v>
      </c>
    </row>
    <row r="13" s="16" customFormat="1" ht="45" spans="1:6">
      <c r="A13" s="40" t="s">
        <v>122</v>
      </c>
      <c r="B13" s="20" t="s">
        <v>213</v>
      </c>
      <c r="C13" s="20" t="s">
        <v>214</v>
      </c>
      <c r="D13" s="20" t="s">
        <v>215</v>
      </c>
      <c r="E13" s="20" t="s">
        <v>216</v>
      </c>
      <c r="F13" s="20" t="s">
        <v>217</v>
      </c>
    </row>
    <row r="14" s="16" customFormat="1" customHeight="1" spans="1:6">
      <c r="A14" s="20"/>
      <c r="B14" s="20"/>
      <c r="C14" s="20"/>
      <c r="D14" s="20"/>
      <c r="E14" s="20"/>
      <c r="F14" s="20"/>
    </row>
    <row r="15" s="16" customFormat="1" customHeight="1" spans="1:6">
      <c r="A15" s="20"/>
      <c r="B15" s="20"/>
      <c r="C15" s="20"/>
      <c r="D15" s="20"/>
      <c r="E15" s="20"/>
      <c r="F15" s="20"/>
    </row>
    <row r="16" s="16" customFormat="1" customHeight="1" spans="1:6">
      <c r="A16" s="20"/>
      <c r="B16" s="20"/>
      <c r="C16" s="20"/>
      <c r="D16" s="20"/>
      <c r="E16" s="20"/>
      <c r="F16" s="20"/>
    </row>
    <row r="17" s="16" customFormat="1" customHeight="1" spans="1:6">
      <c r="A17" s="20"/>
      <c r="B17" s="20"/>
      <c r="C17" s="20"/>
      <c r="D17" s="20"/>
      <c r="E17" s="20"/>
      <c r="F17" s="20"/>
    </row>
    <row r="18" s="16" customFormat="1" customHeight="1" spans="1:6">
      <c r="A18" s="20"/>
      <c r="B18" s="20"/>
      <c r="C18" s="20"/>
      <c r="D18" s="20"/>
      <c r="E18" s="20"/>
      <c r="F18" s="20"/>
    </row>
    <row r="19" s="16" customFormat="1" customHeight="1" spans="1:6">
      <c r="A19" s="20"/>
      <c r="B19" s="20"/>
      <c r="C19" s="20"/>
      <c r="D19" s="20"/>
      <c r="E19" s="20"/>
      <c r="F19" s="20"/>
    </row>
    <row r="20" s="16" customFormat="1" customHeight="1" spans="1:6">
      <c r="A20" s="20"/>
      <c r="B20" s="20"/>
      <c r="C20" s="20"/>
      <c r="D20" s="20"/>
      <c r="E20" s="20"/>
      <c r="F20" s="20"/>
    </row>
    <row r="21" s="16" customFormat="1" customHeight="1" spans="1:6">
      <c r="A21" s="20"/>
      <c r="B21" s="20"/>
      <c r="C21" s="20"/>
      <c r="D21" s="20"/>
      <c r="E21" s="20"/>
      <c r="F21" s="20"/>
    </row>
    <row r="22" s="16" customFormat="1" customHeight="1" spans="1:6">
      <c r="A22" s="20"/>
      <c r="B22" s="20"/>
      <c r="C22" s="20"/>
      <c r="D22" s="20"/>
      <c r="E22" s="20"/>
      <c r="F22" s="20"/>
    </row>
    <row r="23" s="16" customFormat="1" customHeight="1" spans="1:6">
      <c r="A23" s="20"/>
      <c r="B23" s="20"/>
      <c r="C23" s="20"/>
      <c r="D23" s="20"/>
      <c r="E23" s="20"/>
      <c r="F23" s="20"/>
    </row>
    <row r="24" s="16" customFormat="1" customHeight="1" spans="1:6">
      <c r="A24" s="20"/>
      <c r="B24" s="20"/>
      <c r="C24" s="20"/>
      <c r="D24" s="20"/>
      <c r="E24" s="20"/>
      <c r="F24" s="20"/>
    </row>
    <row r="25" s="16" customFormat="1" customHeight="1" spans="1:6">
      <c r="A25" s="21"/>
      <c r="B25" s="21"/>
      <c r="C25" s="21"/>
      <c r="D25" s="21"/>
      <c r="E25" s="21"/>
      <c r="F25" s="21"/>
    </row>
    <row r="26" s="16" customFormat="1" customHeight="1" spans="1:6">
      <c r="A26" s="21"/>
      <c r="B26" s="21"/>
      <c r="C26" s="21"/>
      <c r="D26" s="21"/>
      <c r="E26" s="21"/>
      <c r="F26" s="21"/>
    </row>
    <row r="27" s="16" customFormat="1" customHeight="1" spans="1:6">
      <c r="A27" s="21"/>
      <c r="B27" s="21"/>
      <c r="C27" s="21"/>
      <c r="D27" s="21"/>
      <c r="E27" s="21"/>
      <c r="F27" s="21"/>
    </row>
    <row r="28" s="16" customFormat="1" customHeight="1" spans="1:6">
      <c r="A28" s="21"/>
      <c r="B28" s="21"/>
      <c r="C28" s="21"/>
      <c r="D28" s="21"/>
      <c r="E28" s="21"/>
      <c r="F28" s="21"/>
    </row>
    <row r="29" s="16" customFormat="1" customHeight="1" spans="1:6">
      <c r="A29" s="21"/>
      <c r="B29" s="21"/>
      <c r="C29" s="21"/>
      <c r="D29" s="21"/>
      <c r="E29" s="21"/>
      <c r="F29" s="21"/>
    </row>
    <row r="30" s="16" customFormat="1" customHeight="1" spans="1:6">
      <c r="A30" s="22" t="s">
        <v>218</v>
      </c>
    </row>
    <row r="31" s="16" customFormat="1" customHeight="1" spans="1:6">
      <c r="A31" s="23" t="s">
        <v>219</v>
      </c>
      <c r="B31" s="23" t="s">
        <v>220</v>
      </c>
      <c r="C31" s="23" t="s">
        <v>221</v>
      </c>
    </row>
    <row r="32" s="16" customFormat="1" customHeight="1" spans="1:6">
      <c r="A32" s="20" t="s">
        <v>213</v>
      </c>
      <c r="B32" s="20" t="s">
        <v>222</v>
      </c>
      <c r="C32" s="20" t="s">
        <v>223</v>
      </c>
    </row>
    <row r="33" s="16" customFormat="1" customHeight="1" spans="1:3">
      <c r="A33" s="20" t="s">
        <v>173</v>
      </c>
      <c r="B33" s="20" t="s">
        <v>224</v>
      </c>
      <c r="C33" s="20" t="s">
        <v>225</v>
      </c>
    </row>
    <row r="34" s="16" customFormat="1" customHeight="1" spans="1:3">
      <c r="A34" s="20" t="s">
        <v>191</v>
      </c>
      <c r="B34" s="20" t="s">
        <v>226</v>
      </c>
      <c r="C34" s="20" t="s">
        <v>227</v>
      </c>
    </row>
    <row r="35" s="16" customFormat="1" customHeight="1" spans="1:3">
      <c r="A35" s="20" t="s">
        <v>196</v>
      </c>
      <c r="B35" s="20" t="s">
        <v>228</v>
      </c>
      <c r="C35" s="20" t="s">
        <v>229</v>
      </c>
    </row>
    <row r="36" s="16" customFormat="1" customHeight="1" spans="1:3">
      <c r="A36" s="20" t="s">
        <v>178</v>
      </c>
      <c r="B36" s="20" t="s">
        <v>230</v>
      </c>
      <c r="C36" s="20" t="s">
        <v>231</v>
      </c>
    </row>
  </sheetData>
  <mergeCells count="2">
    <mergeCell ref="A1:F1"/>
    <mergeCell ref="A2:F2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0"/>
  <sheetViews>
    <sheetView workbookViewId="0">
      <selection activeCell="D20" sqref="D20"/>
    </sheetView>
  </sheetViews>
  <sheetFormatPr defaultColWidth="9" defaultRowHeight="15" outlineLevelCol="3"/>
  <cols>
    <col min="1" max="1" width="8" style="1" customWidth="1"/>
    <col min="2" max="2" width="60" style="1" customWidth="1"/>
    <col min="3" max="3" width="10" style="1" customWidth="1"/>
    <col min="4" max="4" width="30" style="1" customWidth="1"/>
    <col min="5" max="16384" width="9" style="1"/>
  </cols>
  <sheetData>
    <row r="1" s="1" customFormat="1" ht="21" spans="1:4">
      <c r="A1" s="2" t="s">
        <v>232</v>
      </c>
    </row>
    <row r="2" s="1" customFormat="1" spans="1:4">
      <c r="A2" s="3" t="s">
        <v>233</v>
      </c>
    </row>
    <row r="4" s="1" customFormat="1" ht="18.75" spans="1:4">
      <c r="A4" s="4" t="s">
        <v>234</v>
      </c>
    </row>
    <row r="5" s="1" customFormat="1" spans="1:4">
      <c r="A5" s="5" t="s">
        <v>235</v>
      </c>
      <c r="B5" s="6" t="s">
        <v>236</v>
      </c>
      <c r="C5" s="5" t="s">
        <v>237</v>
      </c>
      <c r="D5" s="6" t="s">
        <v>238</v>
      </c>
    </row>
    <row r="6" s="1" customFormat="1" spans="1:4">
      <c r="A6" s="7" t="s">
        <v>239</v>
      </c>
      <c r="B6" s="8" t="s">
        <v>240</v>
      </c>
      <c r="C6" s="7" t="s">
        <v>241</v>
      </c>
      <c r="D6" s="8" t="s">
        <v>34</v>
      </c>
    </row>
    <row r="7" s="1" customFormat="1" spans="1:4">
      <c r="A7" s="7" t="s">
        <v>242</v>
      </c>
      <c r="B7" s="8" t="s">
        <v>243</v>
      </c>
      <c r="C7" s="7" t="s">
        <v>241</v>
      </c>
      <c r="D7" s="8" t="s">
        <v>34</v>
      </c>
    </row>
    <row r="8" s="1" customFormat="1" spans="1:4">
      <c r="A8" s="7" t="s">
        <v>244</v>
      </c>
      <c r="B8" s="8" t="s">
        <v>245</v>
      </c>
      <c r="C8" s="7" t="s">
        <v>241</v>
      </c>
      <c r="D8" s="8" t="s">
        <v>34</v>
      </c>
    </row>
    <row r="9" s="1" customFormat="1" spans="1:4">
      <c r="A9" s="7" t="s">
        <v>246</v>
      </c>
      <c r="B9" s="8" t="s">
        <v>247</v>
      </c>
      <c r="C9" s="7" t="s">
        <v>241</v>
      </c>
      <c r="D9" s="8" t="s">
        <v>34</v>
      </c>
    </row>
    <row r="10" s="1" customFormat="1" spans="1:4">
      <c r="A10" s="7" t="s">
        <v>248</v>
      </c>
      <c r="B10" s="8" t="s">
        <v>249</v>
      </c>
      <c r="C10" s="7" t="s">
        <v>241</v>
      </c>
      <c r="D10" s="8" t="s">
        <v>34</v>
      </c>
    </row>
    <row r="12" s="1" customFormat="1" ht="18.75" spans="1:4">
      <c r="A12" s="4" t="s">
        <v>250</v>
      </c>
    </row>
    <row r="13" s="1" customFormat="1" spans="1:4">
      <c r="A13" s="5" t="s">
        <v>235</v>
      </c>
      <c r="B13" s="6" t="s">
        <v>236</v>
      </c>
      <c r="C13" s="5" t="s">
        <v>237</v>
      </c>
      <c r="D13" s="6" t="s">
        <v>251</v>
      </c>
    </row>
    <row r="14" s="1" customFormat="1" spans="1:4">
      <c r="A14" s="7" t="s">
        <v>239</v>
      </c>
      <c r="B14" s="8" t="s">
        <v>252</v>
      </c>
      <c r="C14" s="7" t="s">
        <v>241</v>
      </c>
      <c r="D14" s="8" t="s">
        <v>34</v>
      </c>
    </row>
    <row r="15" s="1" customFormat="1" spans="1:4">
      <c r="A15" s="7" t="s">
        <v>242</v>
      </c>
      <c r="B15" s="8" t="s">
        <v>253</v>
      </c>
      <c r="C15" s="7" t="s">
        <v>241</v>
      </c>
      <c r="D15" s="8" t="s">
        <v>34</v>
      </c>
    </row>
    <row r="16" s="1" customFormat="1" spans="1:4">
      <c r="A16" s="7" t="s">
        <v>244</v>
      </c>
      <c r="B16" s="8" t="s">
        <v>254</v>
      </c>
      <c r="C16" s="7" t="s">
        <v>241</v>
      </c>
      <c r="D16" s="8" t="s">
        <v>34</v>
      </c>
    </row>
    <row r="17" s="1" customFormat="1" spans="1:4">
      <c r="A17" s="7" t="s">
        <v>246</v>
      </c>
      <c r="B17" s="8" t="s">
        <v>255</v>
      </c>
      <c r="C17" s="7" t="s">
        <v>241</v>
      </c>
      <c r="D17" s="8" t="s">
        <v>34</v>
      </c>
    </row>
    <row r="18" s="1" customFormat="1" spans="1:4">
      <c r="A18" s="7" t="s">
        <v>248</v>
      </c>
      <c r="B18" s="8" t="s">
        <v>256</v>
      </c>
      <c r="C18" s="7" t="s">
        <v>241</v>
      </c>
      <c r="D18" s="8" t="s">
        <v>34</v>
      </c>
    </row>
    <row r="20" s="1" customFormat="1" ht="15.75" spans="1:4">
      <c r="A20" s="9" t="s">
        <v>257</v>
      </c>
    </row>
    <row r="21" s="1" customFormat="1" spans="1:4">
      <c r="A21" s="10" t="s">
        <v>258</v>
      </c>
    </row>
    <row r="22" s="1" customFormat="1" spans="1:4">
      <c r="A22" s="10" t="s">
        <v>259</v>
      </c>
    </row>
    <row r="25" s="1" customFormat="1" ht="18.75" spans="1:4">
      <c r="A25" s="4" t="s">
        <v>260</v>
      </c>
    </row>
    <row r="26" s="1" customFormat="1" spans="1:4">
      <c r="A26" s="11" t="s">
        <v>261</v>
      </c>
    </row>
    <row r="27" s="1" customFormat="1" ht="45" spans="1:4">
      <c r="A27" s="12" t="s">
        <v>46</v>
      </c>
      <c r="B27" s="13" t="s">
        <v>262</v>
      </c>
      <c r="C27" s="13" t="s">
        <v>263</v>
      </c>
      <c r="D27" s="13" t="s">
        <v>264</v>
      </c>
    </row>
    <row r="28" s="1" customFormat="1" spans="1:4">
      <c r="A28" s="14" t="s">
        <v>54</v>
      </c>
      <c r="B28" s="15" t="s">
        <v>34</v>
      </c>
      <c r="C28" s="15" t="s">
        <v>34</v>
      </c>
      <c r="D28" s="15" t="s">
        <v>34</v>
      </c>
    </row>
    <row r="29" s="1" customFormat="1" spans="1:4">
      <c r="A29" s="14" t="s">
        <v>61</v>
      </c>
      <c r="B29" s="15" t="s">
        <v>34</v>
      </c>
      <c r="C29" s="15" t="s">
        <v>34</v>
      </c>
      <c r="D29" s="15" t="s">
        <v>34</v>
      </c>
    </row>
    <row r="30" s="1" customFormat="1" spans="1:4">
      <c r="A30" s="14" t="s">
        <v>67</v>
      </c>
      <c r="B30" s="15" t="s">
        <v>34</v>
      </c>
      <c r="C30" s="15" t="s">
        <v>34</v>
      </c>
      <c r="D30" s="15" t="s">
        <v>34</v>
      </c>
    </row>
  </sheetData>
  <mergeCells count="2">
    <mergeCell ref="A1:D1"/>
    <mergeCell ref="A2:D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 Assessment Checklist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TG</dc:creator>
  <cp:lastModifiedBy>Huy TG</cp:lastModifiedBy>
  <dcterms:created xsi:type="dcterms:W3CDTF">2026-06-07T14:22:00Z</dcterms:created>
  <dcterms:modified xsi:type="dcterms:W3CDTF">2026-07-04T18:58:03Z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2145347AFF94484F8B82216EC7FBE636_12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